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dachbourd\"/>
    </mc:Choice>
  </mc:AlternateContent>
  <xr:revisionPtr revIDLastSave="0" documentId="8_{75C891CE-4F00-4708-9210-69123509769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Feuil4" sheetId="5" r:id="rId1"/>
    <sheet name="bac end" sheetId="2" r:id="rId2"/>
    <sheet name="Assurances_Auto" sheetId="1" r:id="rId3"/>
    <sheet name="dachbourd" sheetId="4" r:id="rId4"/>
  </sheets>
  <definedNames>
    <definedName name="Segment_Année_Vehicule">#N/A</definedName>
    <definedName name="Segment_Montant_Risque">#N/A</definedName>
    <definedName name="Segment_Prime_Bas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" i="1" l="1"/>
  <c r="U11" i="1"/>
  <c r="V2" i="1"/>
  <c r="U2" i="1"/>
  <c r="T2" i="1"/>
  <c r="S2" i="1"/>
  <c r="N2" i="1"/>
  <c r="O2" i="1" s="1"/>
  <c r="P2" i="1" s="1"/>
  <c r="Q2" i="1" s="1"/>
  <c r="N3" i="1"/>
  <c r="N4" i="1"/>
  <c r="N5" i="1"/>
  <c r="N6" i="1"/>
  <c r="O6" i="1" s="1"/>
  <c r="P6" i="1" s="1"/>
  <c r="Q6" i="1" s="1"/>
  <c r="N7" i="1"/>
  <c r="O7" i="1" s="1"/>
  <c r="P7" i="1" s="1"/>
  <c r="Q7" i="1" s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N12" i="1"/>
  <c r="N13" i="1"/>
  <c r="N14" i="1"/>
  <c r="O14" i="1" s="1"/>
  <c r="P14" i="1" s="1"/>
  <c r="N15" i="1"/>
  <c r="O15" i="1" s="1"/>
  <c r="P15" i="1" s="1"/>
  <c r="N16" i="1"/>
  <c r="O16" i="1" s="1"/>
  <c r="P16" i="1" s="1"/>
  <c r="Q16" i="1" s="1"/>
  <c r="N17" i="1"/>
  <c r="O17" i="1" s="1"/>
  <c r="P17" i="1" s="1"/>
  <c r="N18" i="1"/>
  <c r="O18" i="1" s="1"/>
  <c r="P18" i="1" s="1"/>
  <c r="Q18" i="1" s="1"/>
  <c r="N19" i="1"/>
  <c r="N20" i="1"/>
  <c r="N21" i="1"/>
  <c r="O21" i="1" s="1"/>
  <c r="P21" i="1" s="1"/>
  <c r="Q21" i="1" s="1"/>
  <c r="N22" i="1"/>
  <c r="O22" i="1" s="1"/>
  <c r="P22" i="1" s="1"/>
  <c r="Q22" i="1" s="1"/>
  <c r="N23" i="1"/>
  <c r="O23" i="1" s="1"/>
  <c r="P23" i="1" s="1"/>
  <c r="Q23" i="1" s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Q26" i="1" s="1"/>
  <c r="N27" i="1"/>
  <c r="O27" i="1" s="1"/>
  <c r="P27" i="1" s="1"/>
  <c r="N28" i="1"/>
  <c r="N29" i="1"/>
  <c r="O29" i="1" s="1"/>
  <c r="P29" i="1" s="1"/>
  <c r="Q29" i="1" s="1"/>
  <c r="N30" i="1"/>
  <c r="O30" i="1" s="1"/>
  <c r="P30" i="1" s="1"/>
  <c r="Q30" i="1" s="1"/>
  <c r="N31" i="1"/>
  <c r="O31" i="1" s="1"/>
  <c r="P31" i="1" s="1"/>
  <c r="Q31" i="1" s="1"/>
  <c r="N32" i="1"/>
  <c r="O32" i="1" s="1"/>
  <c r="P32" i="1" s="1"/>
  <c r="Q32" i="1" s="1"/>
  <c r="N33" i="1"/>
  <c r="O33" i="1" s="1"/>
  <c r="P33" i="1" s="1"/>
  <c r="Q33" i="1" s="1"/>
  <c r="N34" i="1"/>
  <c r="O34" i="1" s="1"/>
  <c r="P34" i="1" s="1"/>
  <c r="Q34" i="1" s="1"/>
  <c r="N35" i="1"/>
  <c r="O35" i="1" s="1"/>
  <c r="P35" i="1" s="1"/>
  <c r="Q35" i="1" s="1"/>
  <c r="N36" i="1"/>
  <c r="N37" i="1"/>
  <c r="O37" i="1" s="1"/>
  <c r="P37" i="1" s="1"/>
  <c r="N38" i="1"/>
  <c r="O38" i="1" s="1"/>
  <c r="P38" i="1" s="1"/>
  <c r="Q38" i="1" s="1"/>
  <c r="N39" i="1"/>
  <c r="O39" i="1" s="1"/>
  <c r="P39" i="1" s="1"/>
  <c r="Q39" i="1" s="1"/>
  <c r="N40" i="1"/>
  <c r="O40" i="1" s="1"/>
  <c r="P40" i="1" s="1"/>
  <c r="Q40" i="1" s="1"/>
  <c r="N41" i="1"/>
  <c r="O41" i="1" s="1"/>
  <c r="P41" i="1" s="1"/>
  <c r="Q41" i="1" s="1"/>
  <c r="O3" i="1"/>
  <c r="P3" i="1" s="1"/>
  <c r="Q3" i="1" s="1"/>
  <c r="O4" i="1"/>
  <c r="P4" i="1" s="1"/>
  <c r="Q4" i="1" s="1"/>
  <c r="O5" i="1"/>
  <c r="P5" i="1" s="1"/>
  <c r="Q5" i="1" s="1"/>
  <c r="O11" i="1"/>
  <c r="P11" i="1" s="1"/>
  <c r="Q11" i="1" s="1"/>
  <c r="O12" i="1"/>
  <c r="P12" i="1" s="1"/>
  <c r="Q12" i="1" s="1"/>
  <c r="O13" i="1"/>
  <c r="P13" i="1" s="1"/>
  <c r="Q13" i="1" s="1"/>
  <c r="O19" i="1"/>
  <c r="P19" i="1" s="1"/>
  <c r="Q19" i="1" s="1"/>
  <c r="O20" i="1"/>
  <c r="P20" i="1" s="1"/>
  <c r="Q20" i="1" s="1"/>
  <c r="O28" i="1"/>
  <c r="P28" i="1" s="1"/>
  <c r="Q28" i="1" s="1"/>
  <c r="O36" i="1"/>
  <c r="P36" i="1" s="1"/>
  <c r="Q36" i="1" s="1"/>
  <c r="Q15" i="1" l="1"/>
  <c r="R15" i="1"/>
  <c r="Q27" i="1"/>
  <c r="R27" i="1"/>
  <c r="R26" i="1"/>
  <c r="Q14" i="1"/>
  <c r="R14" i="1"/>
  <c r="Q37" i="1"/>
  <c r="R37" i="1"/>
  <c r="Q17" i="1"/>
  <c r="R17" i="1"/>
  <c r="R18" i="1"/>
  <c r="R41" i="1"/>
  <c r="R33" i="1"/>
  <c r="R25" i="1"/>
  <c r="R9" i="1"/>
  <c r="R10" i="1"/>
  <c r="R40" i="1"/>
  <c r="R32" i="1"/>
  <c r="R24" i="1"/>
  <c r="R16" i="1"/>
  <c r="R8" i="1"/>
  <c r="R39" i="1"/>
  <c r="R31" i="1"/>
  <c r="R23" i="1"/>
  <c r="R7" i="1"/>
  <c r="R2" i="1"/>
  <c r="R38" i="1"/>
  <c r="R30" i="1"/>
  <c r="R22" i="1"/>
  <c r="R6" i="1"/>
  <c r="R34" i="1"/>
  <c r="R29" i="1"/>
  <c r="R21" i="1"/>
  <c r="R13" i="1"/>
  <c r="R5" i="1"/>
  <c r="R36" i="1"/>
  <c r="R28" i="1"/>
  <c r="R20" i="1"/>
  <c r="R12" i="1"/>
  <c r="R4" i="1"/>
  <c r="R35" i="1"/>
  <c r="R19" i="1"/>
  <c r="R11" i="1"/>
  <c r="R3" i="1"/>
</calcChain>
</file>

<file path=xl/sharedStrings.xml><?xml version="1.0" encoding="utf-8"?>
<sst xmlns="http://schemas.openxmlformats.org/spreadsheetml/2006/main" count="696" uniqueCount="175">
  <si>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</si>
  <si>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</si>
  <si>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</si>
  <si>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</si>
  <si>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</si>
  <si>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</si>
  <si>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</si>
  <si>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</si>
  <si>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</si>
  <si>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</si>
  <si>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</si>
  <si>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</si>
  <si>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</si>
  <si>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</si>
  <si>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</si>
  <si>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</si>
  <si>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</si>
  <si>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</si>
  <si>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</si>
  <si>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</si>
  <si>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</si>
  <si>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</si>
  <si>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</si>
  <si>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</si>
  <si>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</si>
  <si>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</si>
  <si>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</si>
  <si>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</si>
  <si>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</si>
  <si>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</si>
  <si>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</si>
  <si>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</si>
  <si>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</si>
  <si>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</si>
  <si>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</si>
  <si>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</si>
  <si>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</si>
  <si>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</si>
  <si>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</si>
  <si>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</si>
  <si>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</si>
  <si>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</si>
  <si>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</si>
  <si>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</si>
  <si>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</si>
  <si>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</si>
  <si>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</si>
  <si>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</si>
  <si>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</si>
  <si>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</si>
  <si>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</si>
  <si>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</si>
  <si>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</si>
  <si>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</si>
  <si>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</si>
  <si>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</si>
  <si>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</si>
  <si>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</si>
  <si>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</si>
  <si>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</si>
  <si>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</si>
  <si>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</si>
  <si>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</si>
  <si>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</si>
  <si>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</si>
  <si>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</si>
  <si>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</si>
  <si>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</si>
  <si>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</si>
  <si>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</si>
  <si>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</si>
  <si>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</si>
  <si>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</si>
  <si>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</si>
  <si>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</si>
  <si>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</si>
  <si>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</si>
  <si>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</si>
  <si>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</si>
  <si>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</si>
  <si>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</si>
  <si>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</si>
  <si>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</si>
  <si>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</si>
  <si>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</si>
  <si>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</si>
  <si>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</si>
  <si>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</si>
  <si>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</si>
  <si>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</si>
  <si>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</si>
  <si>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</si>
  <si>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</si>
  <si>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</si>
  <si>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</si>
  <si>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</si>
  <si>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</si>
  <si>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</si>
  <si>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</si>
  <si>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</si>
  <si>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</si>
  <si>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</si>
  <si>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</si>
  <si>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</si>
  <si>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</si>
  <si>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</si>
  <si>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</si>
  <si>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</si>
  <si>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</si>
  <si>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</si>
  <si>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</si>
  <si>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</si>
  <si>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</si>
  <si>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</si>
  <si>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</si>
  <si>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</si>
  <si>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</si>
  <si>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</si>
  <si>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</si>
  <si>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</si>
  <si>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</si>
  <si>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</si>
  <si>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</si>
  <si>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</si>
  <si>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</si>
  <si>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</si>
  <si>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</si>
  <si>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</si>
  <si>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</si>
  <si>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</si>
  <si>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</si>
  <si>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</si>
  <si>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</si>
  <si>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</si>
  <si>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</si>
  <si>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</si>
  <si>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</si>
  <si>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</si>
  <si>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</si>
  <si>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</si>
  <si>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</si>
  <si>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</si>
  <si>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</si>
  <si>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</si>
  <si>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</si>
  <si>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</si>
  <si>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</si>
  <si>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</si>
  <si>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</si>
  <si>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</si>
  <si>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</si>
  <si>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</si>
  <si>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</si>
  <si>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</si>
  <si>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</si>
  <si>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nb_contrat</t>
  </si>
  <si>
    <t>nb_voiture</t>
  </si>
  <si>
    <t>clasmment</t>
  </si>
  <si>
    <t>Total primes – Ouarzazate</t>
  </si>
  <si>
    <t>Total primes – Camion</t>
  </si>
  <si>
    <t>ID</t>
  </si>
  <si>
    <t>nom</t>
  </si>
  <si>
    <t>prime_total</t>
  </si>
  <si>
    <t>Étiquettes de lignes</t>
  </si>
  <si>
    <t>(vide)</t>
  </si>
  <si>
    <t>Total général</t>
  </si>
  <si>
    <t>Somme de Prime_Totale</t>
  </si>
  <si>
    <t>Nombre de ID_Client</t>
  </si>
  <si>
    <t>Moyenne de Prime_Totale</t>
  </si>
  <si>
    <t>VIP</t>
  </si>
  <si>
    <t>Premium</t>
  </si>
  <si>
    <t>Nombre de Nom</t>
  </si>
  <si>
    <t>Nombre de Prénom</t>
  </si>
  <si>
    <t>janv</t>
  </si>
  <si>
    <t>èèèèè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</si>
</sst>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9" fontId="3" fillId="4" borderId="1" xfId="1" applyFont="1" applyFill="1" applyBorder="1" applyAlignment="1">
      <alignment horizontal="center"/>
    </xf>
    <xf numFmtId="0" fontId="3" fillId="4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5" borderId="1" xfId="0" applyFont="1" applyFill="1" applyBorder="1"/>
    <xf numFmtId="14" fontId="0" fillId="0" borderId="0" xfId="0" applyNumberFormat="1"/>
    <xf numFmtId="0" fontId="0" fillId="2" borderId="0" xfId="0" applyFill="1" applyBorder="1" applyAlignment="1"/>
  </cellXfs>
  <cellStyles count="2">
    <cellStyle name="Normal" xfId="0" builtinId="0"/>
    <cellStyle name="Pourcentage" xfId="1" builtinId="5"/>
  </cellStyles>
  <dxfs count="1">
    <dxf>
      <numFmt numFmtId="19" formatCode="dd/mm/yyyy"/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[Assurances_Auto_Donnees (2).xlsx]bac end!Tableau croisé dynamique1</c:name>
    <c:fmtId val="9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FF0000"/>
          </a:soli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0174578690155259"/>
          <c:y val="4.6045930489162216E-2"/>
          <c:w val="0.78370270789322072"/>
          <c:h val="0.81905678456859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'bac 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A07-4AB7-8673-B4A495BD99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A07-4AB7-8673-B4A495BD999C}"/>
              </c:ext>
            </c:extLst>
          </c:dPt>
          <c:cat>
            <c:strRef>
              <c:f>'bac end'!$A$4:$A$8</c:f>
              <c:strCache>
                <c:ptCount val="4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  <c:pt idx="3">
                  <c:v>(vide)</c:v>
                </c:pt>
              </c:strCache>
            </c:strRef>
          </c:cat>
          <c:val>
            <c:numRef>
              <c:f>'bac end'!$B$4:$B$8</c:f>
              <c:numCache>
                <c:formatCode>General</c:formatCode>
                <c:ptCount val="4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07-4AB7-8673-B4A495BD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1808976"/>
        <c:axId val="561806352"/>
      </c:barChart>
      <c:catAx>
        <c:axId val="56180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1806352"/>
        <c:crosses val="autoZero"/>
        <c:auto val="1"/>
        <c:lblAlgn val="ctr"/>
        <c:lblOffset val="100"/>
        <c:noMultiLvlLbl val="0"/>
      </c:catAx>
      <c:valAx>
        <c:axId val="561806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180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(2).xlsx]bac end!Tableau croisé dynamique2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AF15CE-5424-47F9-9A3D-83FFDA398B36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-5.37634408602150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-5.37634408602150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AF15CE-5424-47F9-9A3D-83FFDA398B36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-5.37634408602150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21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</c:pivotFmt>
      <c:pivotFmt>
        <c:idx val="2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AF15CE-5424-47F9-9A3D-83FFDA398B36}" type="VALUE">
                  <a:rPr lang="en-US"/>
                  <a:pPr>
                    <a:defRPr/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2728857956215074"/>
          <c:y val="2.748274959029166E-2"/>
          <c:w val="0.58685837552382014"/>
          <c:h val="0.7426699830428739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'bac end'!$C$12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B29-4533-8869-F99511AC658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B29-4533-8869-F99511AC65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B29-4533-8869-F99511AC65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B29-4533-8869-F99511AC65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FB29-4533-8869-F99511AC658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FB29-4533-8869-F99511AC658F}"/>
              </c:ext>
            </c:extLst>
          </c:dPt>
          <c:dLbls>
            <c:dLbl>
              <c:idx val="0"/>
              <c:layout>
                <c:manualLayout>
                  <c:x val="-5.376344086021505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29-4533-8869-F99511AC658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FB29-4533-8869-F99511AC65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AF15CE-5424-47F9-9A3D-83FFDA398B36}" type="VALUE">
                      <a:rPr lang="en-US"/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B29-4533-8869-F99511AC65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'bac end'!$B$13:$B$20</c:f>
              <c:strCache>
                <c:ptCount val="7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  <c:pt idx="6">
                  <c:v>(vide)</c:v>
                </c:pt>
              </c:strCache>
            </c:strRef>
          </c:cat>
          <c:val>
            <c:numRef>
              <c:f>'bac end'!$C$13:$C$20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29-4533-8869-F99511AC65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94425144"/>
        <c:axId val="594430720"/>
        <c:axId val="0"/>
      </c:bar3DChart>
      <c:catAx>
        <c:axId val="594425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4430720"/>
        <c:crosses val="autoZero"/>
        <c:auto val="1"/>
        <c:lblAlgn val="ctr"/>
        <c:lblOffset val="100"/>
        <c:noMultiLvlLbl val="0"/>
      </c:catAx>
      <c:valAx>
        <c:axId val="5944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4425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(2).xlsx]bac end!Tableau croisé dynamique5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'bac end'!$F$13</c:f>
              <c:strCache>
                <c:ptCount val="1"/>
                <c:pt idx="0">
                  <c:v>Nombre de Prénom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  <a:sp3d/>
          </c:spPr>
          <c:cat>
            <c:strRef>
              <c:f>'bac end'!$E$14:$E$17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'bac end'!$F$14:$F$17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1-4E3D-9400-DEF24C04495D}"/>
            </c:ext>
          </c:extLst>
        </c:ser>
        <c:ser>
          <c:idx val="1"/>
          <c:order val="1"/>
          <c:tx>
            <c:strRef>
              <c:f>'bac end'!$G$13</c:f>
              <c:strCache>
                <c:ptCount val="1"/>
                <c:pt idx="0">
                  <c:v>Nombre de Nom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cat>
            <c:strRef>
              <c:f>'bac end'!$E$14:$E$17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'bac end'!$G$14:$G$17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1-4E3D-9400-DEF24C044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684848"/>
        <c:axId val="673683536"/>
        <c:axId val="0"/>
      </c:area3DChart>
      <c:catAx>
        <c:axId val="67368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3683536"/>
        <c:crosses val="autoZero"/>
        <c:auto val="1"/>
        <c:lblAlgn val="ctr"/>
        <c:lblOffset val="100"/>
        <c:noMultiLvlLbl val="0"/>
      </c:catAx>
      <c:valAx>
        <c:axId val="6736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3684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2023521442413"/>
          <c:y val="0.25621967697762782"/>
          <c:w val="0.28490495105939007"/>
          <c:h val="0.42613561135747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(2).xlsx]bac end!Tableau croisé dynamique4</c:name>
    <c:fmtId val="4"/>
  </c:pivotSource>
  <c:chart>
    <c:title>
      <c:layout>
        <c:manualLayout>
          <c:xMode val="edge"/>
          <c:yMode val="edge"/>
          <c:x val="0.33393665158371039"/>
          <c:y val="5.77427821522310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'bac end'!$E$3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8-409D-AE8E-1601A18D6EBF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8-409D-AE8E-1601A18D6EB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28-409D-AE8E-1601A18D6EBF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28-409D-AE8E-1601A18D6EBF}"/>
              </c:ext>
            </c:extLst>
          </c:dPt>
          <c:cat>
            <c:strRef>
              <c:f>'bac end'!$D$4:$D$8</c:f>
              <c:strCache>
                <c:ptCount val="4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  <c:pt idx="3">
                  <c:v>(vide)</c:v>
                </c:pt>
              </c:strCache>
            </c:strRef>
          </c:cat>
          <c:val>
            <c:numRef>
              <c:f>'bac end'!$E$4:$E$8</c:f>
              <c:numCache>
                <c:formatCode>General</c:formatCode>
                <c:ptCount val="4"/>
                <c:pt idx="0">
                  <c:v>11700</c:v>
                </c:pt>
                <c:pt idx="1">
                  <c:v>10305</c:v>
                </c:pt>
                <c:pt idx="2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28-409D-AE8E-1601A18D6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(2).xlsx]bac end!Tableau croisé dynamique8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</c:pivotFmt>
      <c:pivotFmt>
        <c:idx val="12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'bac end'!$I$21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44-409D-B33B-846EC0997014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44-409D-B33B-846EC0997014}"/>
              </c:ext>
            </c:extLst>
          </c:dPt>
          <c:cat>
            <c:strRef>
              <c:f>'bac end'!$H$22:$H$24</c:f>
              <c:strCache>
                <c:ptCount val="2"/>
                <c:pt idx="0">
                  <c:v>(vide)</c:v>
                </c:pt>
                <c:pt idx="1">
                  <c:v>janv</c:v>
                </c:pt>
              </c:strCache>
            </c:strRef>
          </c:cat>
          <c:val>
            <c:numRef>
              <c:f>'bac end'!$I$22:$I$24</c:f>
              <c:numCache>
                <c:formatCode>General</c:formatCode>
                <c:ptCount val="2"/>
                <c:pt idx="1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44-409D-B33B-846EC0997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(2).xlsx]bac end!Tableau croisé dynamique7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'bac end'!$F$22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cat>
            <c:strRef>
              <c:f>'bac end'!$E$23:$E$28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'bac end'!$F$23:$F$28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A-46E2-8017-902F15B7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257472"/>
        <c:axId val="678258128"/>
        <c:axId val="672693352"/>
      </c:line3DChart>
      <c:catAx>
        <c:axId val="67825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258128"/>
        <c:crosses val="autoZero"/>
        <c:auto val="1"/>
        <c:lblAlgn val="ctr"/>
        <c:lblOffset val="100"/>
        <c:noMultiLvlLbl val="0"/>
      </c:catAx>
      <c:valAx>
        <c:axId val="6782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257472"/>
        <c:crosses val="autoZero"/>
        <c:crossBetween val="between"/>
      </c:valAx>
      <c:serAx>
        <c:axId val="672693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2581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350345</xdr:colOff>
      <xdr:row>2</xdr:row>
      <xdr:rowOff>103790</xdr:rowOff>
    </xdr:from>
    <xdr:to>
      <xdr:col>8</xdr:col>
      <xdr:colOff>2529052</xdr:colOff>
      <xdr:row>6</xdr:row>
      <xdr:rowOff>21897</xdr:rowOff>
    </xdr:to>
    <xdr:sp macro="" textlink="">
      <xdr:nvSpPr>
        <xdr:cNvPr id="2" name="Rectangle : avec coins arrondis en diagonale 1">
          <a:extLst>
            <a:ext uri="{FF2B5EF4-FFF2-40B4-BE49-F238E27FC236}">
              <a16:creationId xmlns:a16="http://schemas.microsoft.com/office/drawing/2014/main" id="{05D075C4-4B25-4A70-9B2C-2EE062DEA18A}"/>
            </a:ext>
          </a:extLst>
        </xdr:cNvPr>
        <xdr:cNvSpPr/>
      </xdr:nvSpPr>
      <xdr:spPr>
        <a:xfrm>
          <a:off x="1883104" y="476031"/>
          <a:ext cx="6776982" cy="662590"/>
        </a:xfrm>
        <a:prstGeom prst="round2DiagRect">
          <a:avLst/>
        </a:prstGeom>
        <a:solidFill>
          <a:schemeClr val="bg1"/>
        </a:solidFill>
        <a:ln>
          <a:solidFill>
            <a:srgbClr val="FF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82550</xdr:colOff>
      <xdr:row>6</xdr:row>
      <xdr:rowOff>54742</xdr:rowOff>
    </xdr:from>
    <xdr:to>
      <xdr:col>2</xdr:col>
      <xdr:colOff>580258</xdr:colOff>
      <xdr:row>46</xdr:row>
      <xdr:rowOff>120650</xdr:rowOff>
    </xdr:to>
    <xdr:sp macro="" textlink="">
      <xdr:nvSpPr>
        <xdr:cNvPr id="4" name="Rectangle : avec coins arrondis en diagonale 3">
          <a:extLst>
            <a:ext uri="{FF2B5EF4-FFF2-40B4-BE49-F238E27FC236}">
              <a16:creationId xmlns:a16="http://schemas.microsoft.com/office/drawing/2014/main" id="{B5C2FBA1-7711-4EEA-A1CC-20CCFE14C1A6}"/>
            </a:ext>
          </a:extLst>
        </xdr:cNvPr>
        <xdr:cNvSpPr/>
      </xdr:nvSpPr>
      <xdr:spPr>
        <a:xfrm>
          <a:off x="848929" y="1171466"/>
          <a:ext cx="1264088" cy="7510736"/>
        </a:xfrm>
        <a:prstGeom prst="round2DiagRect">
          <a:avLst/>
        </a:prstGeom>
        <a:solidFill>
          <a:schemeClr val="bg1"/>
        </a:solidFill>
        <a:ln>
          <a:solidFill>
            <a:srgbClr val="FF0000"/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6</xdr:col>
      <xdr:colOff>317500</xdr:colOff>
      <xdr:row>22</xdr:row>
      <xdr:rowOff>40071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BF63169-A21A-45F4-A535-A1EE683E6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766378</xdr:colOff>
      <xdr:row>12</xdr:row>
      <xdr:rowOff>153276</xdr:rowOff>
    </xdr:from>
    <xdr:to>
      <xdr:col>8</xdr:col>
      <xdr:colOff>2025431</xdr:colOff>
      <xdr:row>22</xdr:row>
      <xdr:rowOff>43793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AEA7310-C5F0-4781-935B-534F3BD6B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744481</xdr:colOff>
      <xdr:row>24</xdr:row>
      <xdr:rowOff>131380</xdr:rowOff>
    </xdr:from>
    <xdr:to>
      <xdr:col>6</xdr:col>
      <xdr:colOff>229913</xdr:colOff>
      <xdr:row>33</xdr:row>
      <xdr:rowOff>110359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F380244-7094-4100-A407-905B9B1A0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65690</xdr:colOff>
      <xdr:row>24</xdr:row>
      <xdr:rowOff>131378</xdr:rowOff>
    </xdr:from>
    <xdr:to>
      <xdr:col>8</xdr:col>
      <xdr:colOff>2014483</xdr:colOff>
      <xdr:row>34</xdr:row>
      <xdr:rowOff>4379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D105EEC-32E4-4839-B490-8BCA4EF6C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755430</xdr:colOff>
      <xdr:row>36</xdr:row>
      <xdr:rowOff>32845</xdr:rowOff>
    </xdr:from>
    <xdr:to>
      <xdr:col>6</xdr:col>
      <xdr:colOff>273706</xdr:colOff>
      <xdr:row>46</xdr:row>
      <xdr:rowOff>1095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7C6F21D-16A6-4E71-BB85-5E080B60F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76637</xdr:colOff>
      <xdr:row>36</xdr:row>
      <xdr:rowOff>54741</xdr:rowOff>
    </xdr:from>
    <xdr:to>
      <xdr:col>8</xdr:col>
      <xdr:colOff>2047327</xdr:colOff>
      <xdr:row>45</xdr:row>
      <xdr:rowOff>105542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45B7591-74B6-4279-B1A3-FB3C27D20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175173</xdr:colOff>
      <xdr:row>9</xdr:row>
      <xdr:rowOff>98534</xdr:rowOff>
    </xdr:from>
    <xdr:to>
      <xdr:col>2</xdr:col>
      <xdr:colOff>481724</xdr:colOff>
      <xdr:row>18</xdr:row>
      <xdr:rowOff>142327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nnée_Vehicule">
              <a:extLst>
                <a:ext uri="{FF2B5EF4-FFF2-40B4-BE49-F238E27FC236}">
                  <a16:creationId xmlns:a16="http://schemas.microsoft.com/office/drawing/2014/main" id="{5410E698-C940-4AE4-8145-7299344F59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_Vehicu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173" y="1763645"/>
              <a:ext cx="1068551" cy="16947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21896</xdr:colOff>
      <xdr:row>2</xdr:row>
      <xdr:rowOff>142327</xdr:rowOff>
    </xdr:from>
    <xdr:to>
      <xdr:col>8</xdr:col>
      <xdr:colOff>1839311</xdr:colOff>
      <xdr:row>5</xdr:row>
      <xdr:rowOff>98534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ED14A5E5-DF39-4A31-BC4F-C37EBF9AC49B}"/>
            </a:ext>
          </a:extLst>
        </xdr:cNvPr>
        <xdr:cNvSpPr txBox="1"/>
      </xdr:nvSpPr>
      <xdr:spPr>
        <a:xfrm>
          <a:off x="2321034" y="514568"/>
          <a:ext cx="5649311" cy="514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3200" b="0" i="1">
              <a:solidFill>
                <a:srgbClr val="C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Statistiques </a:t>
          </a:r>
          <a:endParaRPr lang="fr-FR" sz="3200">
            <a:solidFill>
              <a:srgbClr val="C00000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1</xdr:col>
      <xdr:colOff>164224</xdr:colOff>
      <xdr:row>19</xdr:row>
      <xdr:rowOff>131380</xdr:rowOff>
    </xdr:from>
    <xdr:to>
      <xdr:col>2</xdr:col>
      <xdr:colOff>448879</xdr:colOff>
      <xdr:row>29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ontant_Risque">
              <a:extLst>
                <a:ext uri="{FF2B5EF4-FFF2-40B4-BE49-F238E27FC236}">
                  <a16:creationId xmlns:a16="http://schemas.microsoft.com/office/drawing/2014/main" id="{C42B3376-9652-48BB-884D-4B43FF746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ant_Ris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224" y="3630936"/>
              <a:ext cx="1046655" cy="1703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153276</xdr:colOff>
      <xdr:row>30</xdr:row>
      <xdr:rowOff>32846</xdr:rowOff>
    </xdr:from>
    <xdr:to>
      <xdr:col>2</xdr:col>
      <xdr:colOff>426982</xdr:colOff>
      <xdr:row>40</xdr:row>
      <xdr:rowOff>104557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Prime_Base">
              <a:extLst>
                <a:ext uri="{FF2B5EF4-FFF2-40B4-BE49-F238E27FC236}">
                  <a16:creationId xmlns:a16="http://schemas.microsoft.com/office/drawing/2014/main" id="{4CD8E345-E0B5-4200-AFC2-367F5005BB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me_B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276" y="5550290"/>
              <a:ext cx="1035706" cy="1906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49610</xdr:colOff>
      <xdr:row>2</xdr:row>
      <xdr:rowOff>19844</xdr:rowOff>
    </xdr:from>
    <xdr:to>
      <xdr:col>2</xdr:col>
      <xdr:colOff>388540</xdr:colOff>
      <xdr:row>7</xdr:row>
      <xdr:rowOff>724</xdr:rowOff>
    </xdr:to>
    <xdr:pic>
      <xdr:nvPicPr>
        <xdr:cNvPr id="17" name="Graphique 16" descr="Voiture avec un remplissage uni">
          <a:extLst>
            <a:ext uri="{FF2B5EF4-FFF2-40B4-BE49-F238E27FC236}">
              <a16:creationId xmlns:a16="http://schemas.microsoft.com/office/drawing/2014/main" id="{ED953669-8C0B-4EBB-B018-773C6536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13594" y="396875"/>
          <a:ext cx="1102915" cy="914400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  <xdr:twoCellAnchor editAs="oneCell">
    <xdr:from>
      <xdr:col>1</xdr:col>
      <xdr:colOff>162322</xdr:colOff>
      <xdr:row>2</xdr:row>
      <xdr:rowOff>122635</xdr:rowOff>
    </xdr:from>
    <xdr:to>
      <xdr:col>2</xdr:col>
      <xdr:colOff>501252</xdr:colOff>
      <xdr:row>7</xdr:row>
      <xdr:rowOff>94457</xdr:rowOff>
    </xdr:to>
    <xdr:pic>
      <xdr:nvPicPr>
        <xdr:cNvPr id="18" name="Graphique 17" descr="Voiture avec un remplissage uni">
          <a:extLst>
            <a:ext uri="{FF2B5EF4-FFF2-40B4-BE49-F238E27FC236}">
              <a16:creationId xmlns:a16="http://schemas.microsoft.com/office/drawing/2014/main" id="{AFE3C0D3-F533-44D6-96AF-50BAA4B61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26306" y="499666"/>
          <a:ext cx="1102915" cy="914400"/>
        </a:xfrm>
        <a:prstGeom prst="rect">
          <a:avLst/>
        </a:prstGeom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</xdr:pic>
    <xdr:clientData/>
  </xdr:twoCellAnchor>
  <xdr:twoCellAnchor editAs="oneCell">
    <xdr:from>
      <xdr:col>5</xdr:col>
      <xdr:colOff>564445</xdr:colOff>
      <xdr:row>7</xdr:row>
      <xdr:rowOff>70557</xdr:rowOff>
    </xdr:from>
    <xdr:to>
      <xdr:col>7</xdr:col>
      <xdr:colOff>493888</xdr:colOff>
      <xdr:row>12</xdr:row>
      <xdr:rowOff>67735</xdr:rowOff>
    </xdr:to>
    <xdr:pic>
      <xdr:nvPicPr>
        <xdr:cNvPr id="19" name="Graphique 18" descr="Présentation avec graphique à barres avec un remplissage uni">
          <a:extLst>
            <a:ext uri="{FF2B5EF4-FFF2-40B4-BE49-F238E27FC236}">
              <a16:creationId xmlns:a16="http://schemas.microsoft.com/office/drawing/2014/main" id="{B336E4E3-6739-4BF4-84AD-5EFCF226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374445" y="1368779"/>
          <a:ext cx="1453443" cy="914400"/>
        </a:xfrm>
        <a:prstGeom prst="rect">
          <a:avLst/>
        </a:prstGeom>
        <a:scene3d>
          <a:camera prst="isometricOffAxis1Right"/>
          <a:lightRig rig="threePt" dir="t"/>
        </a:scene3d>
      </xdr:spPr>
    </xdr:pic>
    <xdr:clientData/>
  </xdr:twoCellAnchor>
  <xdr:twoCellAnchor editAs="oneCell">
    <xdr:from>
      <xdr:col>8</xdr:col>
      <xdr:colOff>1906936</xdr:colOff>
      <xdr:row>2</xdr:row>
      <xdr:rowOff>98778</xdr:rowOff>
    </xdr:from>
    <xdr:to>
      <xdr:col>8</xdr:col>
      <xdr:colOff>2539999</xdr:colOff>
      <xdr:row>5</xdr:row>
      <xdr:rowOff>169333</xdr:rowOff>
    </xdr:to>
    <xdr:pic>
      <xdr:nvPicPr>
        <xdr:cNvPr id="21" name="Graphique 20" descr="Globe terrestre : Amériques avec un remplissage uni">
          <a:extLst>
            <a:ext uri="{FF2B5EF4-FFF2-40B4-BE49-F238E27FC236}">
              <a16:creationId xmlns:a16="http://schemas.microsoft.com/office/drawing/2014/main" id="{58868357-73B0-45CF-9AB1-961C31381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002936" y="479778"/>
          <a:ext cx="633063" cy="620888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4969907408" createdVersion="7" refreshedVersion="7" minRefreshableVersion="3" recordCount="41" xr:uid="{506FE435-67E6-4FA0-BA19-B3E60CBCF2B9}">
  <cacheSource type="worksheet">
    <worksheetSource ref="A1:V1048576" sheet="Assurances_Auto"/>
  </cacheSource>
  <cacheFields count="22">
    <cacheField name="ID_Client" numFmtId="0">
      <sharedItems containsString="0" containsBlank="1" containsNumber="1" containsInteger="1" minValue="1" maxValue="40" count="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m/>
      </sharedItems>
    </cacheField>
    <cacheField name="Nom" numFmtId="0">
      <sharedItems containsBlank="1" count="41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  <m/>
      </sharedItems>
    </cacheField>
    <cacheField name="Prénom" numFmtId="0">
      <sharedItems containsBlank="1" count="41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  <m/>
      </sharedItems>
    </cacheField>
    <cacheField name="CIN" numFmtId="0">
      <sharedItems containsBlank="1"/>
    </cacheField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 count="4">
        <s v="Moto"/>
        <s v="Camion"/>
        <s v="Voiture"/>
        <m/>
      </sharedItems>
    </cacheField>
    <cacheField name="Marque" numFmtId="0">
      <sharedItems containsBlank="1"/>
    </cacheField>
    <cacheField name="Année_Vehicule" numFmtId="0">
      <sharedItems containsString="0" containsBlank="1" containsNumber="1" containsInteger="1" minValue="2010" maxValue="2023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10"/>
        <m/>
      </sharedItems>
    </cacheField>
    <cacheField name="Valeur_Vehicule" numFmtId="0">
      <sharedItems containsString="0" containsBlank="1" containsNumber="1" containsInteger="1" minValue="93000" maxValue="210000"/>
    </cacheField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NonDate="0" containsDate="1" containsString="0" containsBlank="1" minDate="2025-01-01T00:00:00" maxDate="2025-01-29T00:00:00" count="29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  <m/>
      </sharedItems>
      <fieldGroup base="10">
        <rangePr groupBy="months" startDate="2025-01-01T00:00:00" endDate="2025-01-29T00:00:00"/>
        <groupItems count="14">
          <s v="(vide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tring="0" containsBlank="1" containsNumber="1" containsInteger="1" minValue="12" maxValue="12" count="2">
        <n v="12"/>
        <m/>
      </sharedItems>
    </cacheField>
    <cacheField name="Prime_Base" numFmtId="0">
      <sharedItems containsString="0" containsBlank="1" containsNumber="1" containsInteger="1" minValue="1560" maxValue="3900" count="41">
        <n v="1560"/>
        <n v="1620"/>
        <n v="1680"/>
        <n v="1740"/>
        <n v="1800"/>
        <n v="1860"/>
        <n v="1920"/>
        <n v="1980"/>
        <n v="2040"/>
        <n v="2100"/>
        <n v="2160"/>
        <n v="2220"/>
        <n v="2280"/>
        <n v="2340"/>
        <n v="2400"/>
        <n v="2460"/>
        <n v="2520"/>
        <n v="2580"/>
        <n v="2640"/>
        <n v="2700"/>
        <n v="2760"/>
        <n v="2820"/>
        <n v="2880"/>
        <n v="2940"/>
        <n v="3000"/>
        <n v="3060"/>
        <n v="3120"/>
        <n v="3180"/>
        <n v="3240"/>
        <n v="3300"/>
        <n v="3360"/>
        <n v="3420"/>
        <n v="3480"/>
        <n v="3540"/>
        <n v="3600"/>
        <n v="3660"/>
        <n v="3720"/>
        <n v="3780"/>
        <n v="3840"/>
        <n v="3900"/>
        <m/>
      </sharedItems>
    </cacheField>
    <cacheField name="Taux_Risque" numFmtId="0">
      <sharedItems containsString="0" containsBlank="1" containsNumber="1" minValue="0.03" maxValue="0.06"/>
    </cacheField>
    <cacheField name="Montant_Risque" numFmtId="0">
      <sharedItems containsString="0" containsBlank="1" containsNumber="1" containsInteger="1" minValue="2970" maxValue="12240" count="41">
        <n v="4650"/>
        <n v="5760"/>
        <n v="2970"/>
        <n v="5100"/>
        <n v="6300"/>
        <n v="3240"/>
        <n v="5550"/>
        <n v="6840"/>
        <n v="3510"/>
        <n v="6000"/>
        <n v="7380"/>
        <n v="3780"/>
        <n v="6450"/>
        <n v="7920"/>
        <n v="4050"/>
        <n v="6900"/>
        <n v="8460"/>
        <n v="4320"/>
        <n v="7350"/>
        <n v="9000"/>
        <n v="4590"/>
        <n v="7800"/>
        <n v="9540"/>
        <n v="4860"/>
        <n v="8250"/>
        <n v="10080"/>
        <n v="5130"/>
        <n v="8700"/>
        <n v="10620"/>
        <n v="5400"/>
        <n v="9150"/>
        <n v="11160"/>
        <n v="5670"/>
        <n v="9600"/>
        <n v="11700"/>
        <n v="5940"/>
        <n v="10050"/>
        <n v="12240"/>
        <n v="6210"/>
        <n v="10500"/>
        <m/>
      </sharedItems>
    </cacheField>
    <cacheField name="Prime_Totale" numFmtId="0">
      <sharedItems containsString="0" containsBlank="1" containsNumber="1" containsInteger="1" minValue="4650" maxValue="16020"/>
    </cacheField>
    <cacheField name="Statut_Client" numFmtId="0">
      <sharedItems containsBlank="1" count="3">
        <s v="VIP"/>
        <s v="Premium"/>
        <m/>
      </sharedItems>
    </cacheField>
    <cacheField name="clasmment" numFmtId="0">
      <sharedItems containsString="0" containsBlank="1" containsNumber="1" containsInteger="1" minValue="1" maxValue="38"/>
    </cacheField>
    <cacheField name="nb_contrat" numFmtId="0">
      <sharedItems containsString="0" containsBlank="1" containsNumber="1" containsInteger="1" minValue="13" maxValue="13"/>
    </cacheField>
    <cacheField name="nb_voiture" numFmtId="0">
      <sharedItems containsBlank="1" containsMixedTypes="1" containsNumber="1" containsInteger="1" minValue="13" maxValue="13"/>
    </cacheField>
    <cacheField name="Total primes – Ouarzazate" numFmtId="0">
      <sharedItems containsBlank="1" containsMixedTypes="1" containsNumber="1" containsInteger="1" minValue="3" maxValue="72060"/>
    </cacheField>
    <cacheField name="Total primes – Camion" numFmtId="0">
      <sharedItems containsString="0" containsBlank="1" containsNumber="1" containsInteger="1" minValue="152100" maxValue="152100"/>
    </cacheField>
  </cacheFields>
  <extLst>
    <ext xmlns:x14="http://schemas.microsoft.com/office/spreadsheetml/2009/9/main" uri="{725AE2AE-9491-48be-B2B4-4EB974FC3084}">
      <x14:pivotCacheDefinition pivotCacheId="1807691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s v="AB00001"/>
    <x v="0"/>
    <x v="0"/>
    <s v="Renault"/>
    <x v="0"/>
    <n v="93000"/>
    <x v="0"/>
    <x v="0"/>
    <x v="0"/>
    <x v="0"/>
    <n v="0.05"/>
    <x v="0"/>
    <n v="6210"/>
    <x v="0"/>
    <n v="36"/>
    <n v="13"/>
    <n v="13"/>
    <n v="72060"/>
    <n v="152100"/>
  </r>
  <r>
    <x v="1"/>
    <x v="1"/>
    <x v="1"/>
    <s v="AB00002"/>
    <x v="0"/>
    <x v="1"/>
    <s v="Toyota"/>
    <x v="1"/>
    <n v="96000"/>
    <x v="1"/>
    <x v="1"/>
    <x v="0"/>
    <x v="1"/>
    <n v="0.06"/>
    <x v="1"/>
    <n v="7380"/>
    <x v="0"/>
    <n v="31"/>
    <m/>
    <m/>
    <m/>
    <m/>
  </r>
  <r>
    <x v="2"/>
    <x v="2"/>
    <x v="2"/>
    <s v="AB00003"/>
    <x v="1"/>
    <x v="2"/>
    <s v="Hyundai"/>
    <x v="2"/>
    <n v="99000"/>
    <x v="2"/>
    <x v="2"/>
    <x v="0"/>
    <x v="2"/>
    <n v="0.03"/>
    <x v="2"/>
    <n v="4650"/>
    <x v="1"/>
    <n v="38"/>
    <m/>
    <m/>
    <m/>
    <m/>
  </r>
  <r>
    <x v="3"/>
    <x v="3"/>
    <x v="3"/>
    <s v="AB00004"/>
    <x v="2"/>
    <x v="0"/>
    <s v="Ford"/>
    <x v="3"/>
    <n v="102000"/>
    <x v="0"/>
    <x v="3"/>
    <x v="0"/>
    <x v="3"/>
    <n v="0.05"/>
    <x v="3"/>
    <n v="6840"/>
    <x v="0"/>
    <n v="33"/>
    <m/>
    <m/>
    <m/>
    <m/>
  </r>
  <r>
    <x v="4"/>
    <x v="4"/>
    <x v="4"/>
    <s v="AB00005"/>
    <x v="3"/>
    <x v="1"/>
    <s v="Peugeot"/>
    <x v="4"/>
    <n v="105000"/>
    <x v="1"/>
    <x v="4"/>
    <x v="0"/>
    <x v="4"/>
    <n v="0.06"/>
    <x v="4"/>
    <n v="8100"/>
    <x v="0"/>
    <n v="27"/>
    <m/>
    <m/>
    <m/>
    <m/>
  </r>
  <r>
    <x v="5"/>
    <x v="5"/>
    <x v="5"/>
    <s v="AB00006"/>
    <x v="4"/>
    <x v="2"/>
    <s v="Dacia"/>
    <x v="5"/>
    <n v="108000"/>
    <x v="2"/>
    <x v="5"/>
    <x v="0"/>
    <x v="5"/>
    <n v="0.03"/>
    <x v="5"/>
    <n v="5100"/>
    <x v="0"/>
    <n v="35"/>
    <m/>
    <m/>
    <m/>
    <m/>
  </r>
  <r>
    <x v="6"/>
    <x v="6"/>
    <x v="6"/>
    <s v="AB00007"/>
    <x v="1"/>
    <x v="0"/>
    <s v="Renault"/>
    <x v="6"/>
    <n v="111000"/>
    <x v="0"/>
    <x v="6"/>
    <x v="0"/>
    <x v="6"/>
    <n v="0.05"/>
    <x v="6"/>
    <n v="7470"/>
    <x v="0"/>
    <n v="29"/>
    <m/>
    <m/>
    <m/>
    <m/>
  </r>
  <r>
    <x v="7"/>
    <x v="7"/>
    <x v="7"/>
    <s v="AB00008"/>
    <x v="5"/>
    <x v="1"/>
    <s v="Toyota"/>
    <x v="7"/>
    <n v="114000"/>
    <x v="1"/>
    <x v="7"/>
    <x v="0"/>
    <x v="7"/>
    <n v="0.06"/>
    <x v="7"/>
    <n v="8820"/>
    <x v="0"/>
    <n v="23"/>
    <m/>
    <m/>
    <m/>
    <m/>
  </r>
  <r>
    <x v="8"/>
    <x v="8"/>
    <x v="8"/>
    <s v="AB00009"/>
    <x v="2"/>
    <x v="2"/>
    <s v="Hyundai"/>
    <x v="8"/>
    <n v="117000"/>
    <x v="2"/>
    <x v="8"/>
    <x v="0"/>
    <x v="8"/>
    <n v="0.03"/>
    <x v="8"/>
    <n v="5550"/>
    <x v="0"/>
    <n v="32"/>
    <m/>
    <s v="ID"/>
    <n v="3"/>
    <m/>
  </r>
  <r>
    <x v="9"/>
    <x v="9"/>
    <x v="9"/>
    <s v="AB00010"/>
    <x v="4"/>
    <x v="0"/>
    <s v="Ford"/>
    <x v="9"/>
    <n v="120000"/>
    <x v="0"/>
    <x v="9"/>
    <x v="0"/>
    <x v="9"/>
    <n v="0.05"/>
    <x v="9"/>
    <n v="8100"/>
    <x v="0"/>
    <n v="26"/>
    <m/>
    <s v="nom"/>
    <s v="Benali"/>
    <m/>
  </r>
  <r>
    <x v="10"/>
    <x v="10"/>
    <x v="10"/>
    <s v="AB00011"/>
    <x v="3"/>
    <x v="1"/>
    <s v="Peugeot"/>
    <x v="10"/>
    <n v="123000"/>
    <x v="1"/>
    <x v="10"/>
    <x v="0"/>
    <x v="10"/>
    <n v="0.06"/>
    <x v="10"/>
    <n v="9540"/>
    <x v="0"/>
    <n v="20"/>
    <m/>
    <s v="prime_total"/>
    <n v="4650"/>
    <m/>
  </r>
  <r>
    <x v="11"/>
    <x v="11"/>
    <x v="11"/>
    <s v="AB00012"/>
    <x v="1"/>
    <x v="2"/>
    <s v="Dacia"/>
    <x v="11"/>
    <n v="126000"/>
    <x v="2"/>
    <x v="11"/>
    <x v="0"/>
    <x v="11"/>
    <n v="0.03"/>
    <x v="11"/>
    <n v="6000"/>
    <x v="0"/>
    <n v="29"/>
    <m/>
    <m/>
    <m/>
    <m/>
  </r>
  <r>
    <x v="12"/>
    <x v="12"/>
    <x v="12"/>
    <s v="AB00013"/>
    <x v="0"/>
    <x v="0"/>
    <s v="Renault"/>
    <x v="12"/>
    <n v="129000"/>
    <x v="0"/>
    <x v="12"/>
    <x v="0"/>
    <x v="12"/>
    <n v="0.05"/>
    <x v="12"/>
    <n v="8730"/>
    <x v="0"/>
    <n v="22"/>
    <m/>
    <m/>
    <m/>
    <m/>
  </r>
  <r>
    <x v="13"/>
    <x v="13"/>
    <x v="13"/>
    <s v="AB00014"/>
    <x v="4"/>
    <x v="1"/>
    <s v="Toyota"/>
    <x v="13"/>
    <n v="132000"/>
    <x v="1"/>
    <x v="13"/>
    <x v="0"/>
    <x v="13"/>
    <n v="0.06"/>
    <x v="13"/>
    <n v="10260"/>
    <x v="0"/>
    <n v="16"/>
    <m/>
    <m/>
    <m/>
    <m/>
  </r>
  <r>
    <x v="14"/>
    <x v="14"/>
    <x v="14"/>
    <s v="AB00015"/>
    <x v="3"/>
    <x v="2"/>
    <s v="Hyundai"/>
    <x v="0"/>
    <n v="135000"/>
    <x v="2"/>
    <x v="14"/>
    <x v="0"/>
    <x v="14"/>
    <n v="0.03"/>
    <x v="14"/>
    <n v="6450"/>
    <x v="0"/>
    <n v="26"/>
    <m/>
    <m/>
    <m/>
    <m/>
  </r>
  <r>
    <x v="15"/>
    <x v="15"/>
    <x v="15"/>
    <s v="AB00016"/>
    <x v="2"/>
    <x v="0"/>
    <s v="Ford"/>
    <x v="1"/>
    <n v="138000"/>
    <x v="0"/>
    <x v="15"/>
    <x v="0"/>
    <x v="15"/>
    <n v="0.05"/>
    <x v="15"/>
    <n v="9360"/>
    <x v="0"/>
    <n v="19"/>
    <m/>
    <m/>
    <m/>
    <m/>
  </r>
  <r>
    <x v="16"/>
    <x v="16"/>
    <x v="16"/>
    <s v="AB00017"/>
    <x v="1"/>
    <x v="1"/>
    <s v="Peugeot"/>
    <x v="2"/>
    <n v="141000"/>
    <x v="1"/>
    <x v="16"/>
    <x v="0"/>
    <x v="16"/>
    <n v="0.06"/>
    <x v="16"/>
    <n v="10980"/>
    <x v="0"/>
    <n v="14"/>
    <m/>
    <m/>
    <m/>
    <m/>
  </r>
  <r>
    <x v="17"/>
    <x v="17"/>
    <x v="17"/>
    <s v="AB00018"/>
    <x v="0"/>
    <x v="2"/>
    <s v="Dacia"/>
    <x v="3"/>
    <n v="144000"/>
    <x v="2"/>
    <x v="17"/>
    <x v="0"/>
    <x v="17"/>
    <n v="0.03"/>
    <x v="17"/>
    <n v="6900"/>
    <x v="0"/>
    <n v="23"/>
    <m/>
    <m/>
    <m/>
    <m/>
  </r>
  <r>
    <x v="18"/>
    <x v="18"/>
    <x v="18"/>
    <s v="AB00019"/>
    <x v="4"/>
    <x v="0"/>
    <s v="Renault"/>
    <x v="4"/>
    <n v="147000"/>
    <x v="0"/>
    <x v="18"/>
    <x v="0"/>
    <x v="18"/>
    <n v="0.05"/>
    <x v="18"/>
    <n v="9990"/>
    <x v="0"/>
    <n v="16"/>
    <m/>
    <m/>
    <m/>
    <m/>
  </r>
  <r>
    <x v="19"/>
    <x v="19"/>
    <x v="19"/>
    <s v="AB00020"/>
    <x v="3"/>
    <x v="1"/>
    <s v="Toyota"/>
    <x v="5"/>
    <n v="150000"/>
    <x v="1"/>
    <x v="19"/>
    <x v="0"/>
    <x v="19"/>
    <n v="0.06"/>
    <x v="19"/>
    <n v="11700"/>
    <x v="0"/>
    <n v="12"/>
    <m/>
    <m/>
    <m/>
    <m/>
  </r>
  <r>
    <x v="20"/>
    <x v="20"/>
    <x v="20"/>
    <s v="AB00021"/>
    <x v="2"/>
    <x v="2"/>
    <s v="Hyundai"/>
    <x v="6"/>
    <n v="153000"/>
    <x v="2"/>
    <x v="20"/>
    <x v="0"/>
    <x v="20"/>
    <n v="0.03"/>
    <x v="20"/>
    <n v="7350"/>
    <x v="0"/>
    <n v="20"/>
    <m/>
    <m/>
    <m/>
    <m/>
  </r>
  <r>
    <x v="21"/>
    <x v="21"/>
    <x v="21"/>
    <s v="AB00022"/>
    <x v="1"/>
    <x v="0"/>
    <s v="Ford"/>
    <x v="7"/>
    <n v="156000"/>
    <x v="0"/>
    <x v="21"/>
    <x v="0"/>
    <x v="21"/>
    <n v="0.05"/>
    <x v="21"/>
    <n v="10620"/>
    <x v="0"/>
    <n v="13"/>
    <m/>
    <m/>
    <m/>
    <m/>
  </r>
  <r>
    <x v="22"/>
    <x v="22"/>
    <x v="22"/>
    <s v="AB00023"/>
    <x v="4"/>
    <x v="1"/>
    <s v="Peugeot"/>
    <x v="8"/>
    <n v="159000"/>
    <x v="1"/>
    <x v="22"/>
    <x v="0"/>
    <x v="22"/>
    <n v="0.06"/>
    <x v="22"/>
    <n v="12420"/>
    <x v="0"/>
    <n v="10"/>
    <m/>
    <m/>
    <m/>
    <m/>
  </r>
  <r>
    <x v="23"/>
    <x v="23"/>
    <x v="23"/>
    <s v="AB00024"/>
    <x v="2"/>
    <x v="2"/>
    <s v="Dacia"/>
    <x v="9"/>
    <n v="162000"/>
    <x v="2"/>
    <x v="23"/>
    <x v="0"/>
    <x v="23"/>
    <n v="0.03"/>
    <x v="23"/>
    <n v="7800"/>
    <x v="0"/>
    <n v="17"/>
    <m/>
    <m/>
    <m/>
    <m/>
  </r>
  <r>
    <x v="24"/>
    <x v="24"/>
    <x v="24"/>
    <s v="AB00025"/>
    <x v="3"/>
    <x v="0"/>
    <s v="Renault"/>
    <x v="10"/>
    <n v="165000"/>
    <x v="0"/>
    <x v="24"/>
    <x v="0"/>
    <x v="24"/>
    <n v="0.05"/>
    <x v="24"/>
    <n v="11250"/>
    <x v="0"/>
    <n v="11"/>
    <m/>
    <m/>
    <m/>
    <m/>
  </r>
  <r>
    <x v="25"/>
    <x v="25"/>
    <x v="25"/>
    <s v="AB00026"/>
    <x v="0"/>
    <x v="1"/>
    <s v="Toyota"/>
    <x v="11"/>
    <n v="168000"/>
    <x v="1"/>
    <x v="25"/>
    <x v="0"/>
    <x v="25"/>
    <n v="0.06"/>
    <x v="25"/>
    <n v="13140"/>
    <x v="0"/>
    <n v="7"/>
    <m/>
    <m/>
    <m/>
    <m/>
  </r>
  <r>
    <x v="26"/>
    <x v="26"/>
    <x v="26"/>
    <s v="AB00027"/>
    <x v="4"/>
    <x v="2"/>
    <s v="Hyundai"/>
    <x v="12"/>
    <n v="171000"/>
    <x v="2"/>
    <x v="26"/>
    <x v="0"/>
    <x v="26"/>
    <n v="0.03"/>
    <x v="26"/>
    <n v="8250"/>
    <x v="0"/>
    <n v="14"/>
    <m/>
    <m/>
    <m/>
    <m/>
  </r>
  <r>
    <x v="27"/>
    <x v="27"/>
    <x v="27"/>
    <s v="AB00028"/>
    <x v="1"/>
    <x v="0"/>
    <s v="Ford"/>
    <x v="13"/>
    <n v="174000"/>
    <x v="0"/>
    <x v="27"/>
    <x v="0"/>
    <x v="27"/>
    <n v="0.05"/>
    <x v="27"/>
    <n v="11880"/>
    <x v="0"/>
    <n v="9"/>
    <m/>
    <m/>
    <m/>
    <m/>
  </r>
  <r>
    <x v="28"/>
    <x v="28"/>
    <x v="28"/>
    <s v="AB00029"/>
    <x v="2"/>
    <x v="1"/>
    <s v="Peugeot"/>
    <x v="0"/>
    <n v="177000"/>
    <x v="1"/>
    <x v="0"/>
    <x v="0"/>
    <x v="28"/>
    <n v="0.06"/>
    <x v="28"/>
    <n v="13860"/>
    <x v="0"/>
    <n v="5"/>
    <m/>
    <m/>
    <m/>
    <m/>
  </r>
  <r>
    <x v="29"/>
    <x v="29"/>
    <x v="29"/>
    <s v="AB00030"/>
    <x v="3"/>
    <x v="2"/>
    <s v="Dacia"/>
    <x v="1"/>
    <n v="180000"/>
    <x v="2"/>
    <x v="1"/>
    <x v="0"/>
    <x v="29"/>
    <n v="0.03"/>
    <x v="29"/>
    <n v="8700"/>
    <x v="0"/>
    <n v="11"/>
    <m/>
    <m/>
    <m/>
    <m/>
  </r>
  <r>
    <x v="30"/>
    <x v="30"/>
    <x v="30"/>
    <s v="AB00031"/>
    <x v="4"/>
    <x v="0"/>
    <s v="Renault"/>
    <x v="2"/>
    <n v="183000"/>
    <x v="0"/>
    <x v="2"/>
    <x v="0"/>
    <x v="30"/>
    <n v="0.05"/>
    <x v="30"/>
    <n v="12510"/>
    <x v="0"/>
    <n v="7"/>
    <m/>
    <m/>
    <m/>
    <m/>
  </r>
  <r>
    <x v="31"/>
    <x v="31"/>
    <x v="31"/>
    <s v="AB00032"/>
    <x v="1"/>
    <x v="1"/>
    <s v="Toyota"/>
    <x v="3"/>
    <n v="186000"/>
    <x v="1"/>
    <x v="3"/>
    <x v="0"/>
    <x v="31"/>
    <n v="0.06"/>
    <x v="31"/>
    <n v="14580"/>
    <x v="0"/>
    <n v="3"/>
    <m/>
    <m/>
    <m/>
    <m/>
  </r>
  <r>
    <x v="32"/>
    <x v="32"/>
    <x v="32"/>
    <s v="AB00033"/>
    <x v="2"/>
    <x v="2"/>
    <s v="Hyundai"/>
    <x v="4"/>
    <n v="189000"/>
    <x v="2"/>
    <x v="4"/>
    <x v="0"/>
    <x v="32"/>
    <n v="0.03"/>
    <x v="32"/>
    <n v="9150"/>
    <x v="0"/>
    <n v="8"/>
    <m/>
    <m/>
    <m/>
    <m/>
  </r>
  <r>
    <x v="33"/>
    <x v="33"/>
    <x v="33"/>
    <s v="AB00034"/>
    <x v="3"/>
    <x v="0"/>
    <s v="Ford"/>
    <x v="5"/>
    <n v="192000"/>
    <x v="0"/>
    <x v="5"/>
    <x v="0"/>
    <x v="33"/>
    <n v="0.05"/>
    <x v="33"/>
    <n v="13140"/>
    <x v="0"/>
    <n v="5"/>
    <m/>
    <m/>
    <m/>
    <m/>
  </r>
  <r>
    <x v="34"/>
    <x v="34"/>
    <x v="34"/>
    <s v="AB00035"/>
    <x v="0"/>
    <x v="1"/>
    <s v="Peugeot"/>
    <x v="6"/>
    <n v="195000"/>
    <x v="1"/>
    <x v="6"/>
    <x v="0"/>
    <x v="34"/>
    <n v="0.06"/>
    <x v="34"/>
    <n v="15300"/>
    <x v="0"/>
    <n v="2"/>
    <m/>
    <m/>
    <m/>
    <m/>
  </r>
  <r>
    <x v="35"/>
    <x v="35"/>
    <x v="35"/>
    <s v="AB00036"/>
    <x v="4"/>
    <x v="2"/>
    <s v="Dacia"/>
    <x v="7"/>
    <n v="198000"/>
    <x v="2"/>
    <x v="7"/>
    <x v="0"/>
    <x v="35"/>
    <n v="0.03"/>
    <x v="35"/>
    <n v="9600"/>
    <x v="0"/>
    <n v="5"/>
    <m/>
    <m/>
    <m/>
    <m/>
  </r>
  <r>
    <x v="36"/>
    <x v="36"/>
    <x v="36"/>
    <s v="AB00037"/>
    <x v="1"/>
    <x v="0"/>
    <s v="Renault"/>
    <x v="8"/>
    <n v="201000"/>
    <x v="0"/>
    <x v="8"/>
    <x v="0"/>
    <x v="36"/>
    <n v="0.05"/>
    <x v="36"/>
    <n v="13770"/>
    <x v="0"/>
    <n v="3"/>
    <m/>
    <m/>
    <m/>
    <m/>
  </r>
  <r>
    <x v="37"/>
    <x v="37"/>
    <x v="37"/>
    <s v="AB00038"/>
    <x v="2"/>
    <x v="1"/>
    <s v="Toyota"/>
    <x v="9"/>
    <n v="204000"/>
    <x v="1"/>
    <x v="9"/>
    <x v="0"/>
    <x v="37"/>
    <n v="0.06"/>
    <x v="37"/>
    <n v="16020"/>
    <x v="0"/>
    <n v="1"/>
    <m/>
    <m/>
    <m/>
    <m/>
  </r>
  <r>
    <x v="38"/>
    <x v="38"/>
    <x v="38"/>
    <s v="AB00039"/>
    <x v="3"/>
    <x v="2"/>
    <s v="Hyundai"/>
    <x v="10"/>
    <n v="207000"/>
    <x v="2"/>
    <x v="10"/>
    <x v="0"/>
    <x v="38"/>
    <n v="0.03"/>
    <x v="38"/>
    <n v="10050"/>
    <x v="0"/>
    <n v="2"/>
    <m/>
    <m/>
    <m/>
    <m/>
  </r>
  <r>
    <x v="39"/>
    <x v="39"/>
    <x v="39"/>
    <s v="AB00040"/>
    <x v="0"/>
    <x v="0"/>
    <s v="Ford"/>
    <x v="11"/>
    <n v="210000"/>
    <x v="0"/>
    <x v="11"/>
    <x v="0"/>
    <x v="39"/>
    <n v="0.05"/>
    <x v="39"/>
    <n v="14400"/>
    <x v="0"/>
    <n v="1"/>
    <m/>
    <m/>
    <m/>
    <m/>
  </r>
  <r>
    <x v="40"/>
    <x v="40"/>
    <x v="40"/>
    <m/>
    <x v="6"/>
    <x v="3"/>
    <m/>
    <x v="14"/>
    <m/>
    <x v="3"/>
    <x v="28"/>
    <x v="1"/>
    <x v="40"/>
    <m/>
    <x v="40"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D160-BA29-4D83-BFB6-E6AFFBFFDBB4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H21:I24" firstHeaderRow="1" firstDataRow="1" firstDataCol="1"/>
  <pivotFields count="22">
    <pivotField showAll="0"/>
    <pivotField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me de Prime_Totale" fld="15" baseField="2" baseItem="1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93A47-58CC-4D9A-B33E-3FC8CF4430C5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7">
  <location ref="E22:F28" firstHeaderRow="1" firstDataRow="1" firstDataCol="1"/>
  <pivotFields count="22">
    <pivotField showAll="0"/>
    <pivotField axis="axisRow"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omme de Prime_Totale" fld="15" baseField="2" baseItem="1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71AC1-578B-417D-A982-FB9F16621DE8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E13:G17" firstHeaderRow="0" firstDataRow="1" firstDataCol="1"/>
  <pivotFields count="22">
    <pivotField showAll="0"/>
    <pivotField dataField="1" showAll="0"/>
    <pivotField dataField="1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rénom" fld="2" subtotal="count" baseField="0" baseItem="0"/>
    <dataField name="Nombre de Nom" fld="1" subtotal="count" baseField="0" baseItem="0"/>
  </dataFields>
  <chartFormats count="2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8ABE3-B433-40B5-8387-BC9DCC9DDA7B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D3:E8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Prime_Totale" fld="15" subtotal="average" baseField="5" baseItem="0"/>
  </dataFields>
  <chartFormats count="5"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49064-A150-4984-91F3-C0F488A6373C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B12:C20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ID_Client" fld="0" subtotal="count" baseField="4" baseItem="0"/>
  </dataFields>
  <chartFormats count="7"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25012-FE75-46FD-80E2-29DCCFD936CC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0">
  <location ref="A3:B8" firstHeaderRow="1" firstDataRow="1" firstDataCol="1"/>
  <pivotFields count="22"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16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>
      <items count="42">
        <item x="2"/>
        <item x="5"/>
        <item x="8"/>
        <item x="11"/>
        <item x="14"/>
        <item x="17"/>
        <item x="20"/>
        <item x="0"/>
        <item x="23"/>
        <item x="3"/>
        <item x="26"/>
        <item x="29"/>
        <item x="6"/>
        <item x="32"/>
        <item x="1"/>
        <item x="35"/>
        <item x="9"/>
        <item x="38"/>
        <item x="4"/>
        <item x="12"/>
        <item x="7"/>
        <item x="15"/>
        <item x="18"/>
        <item x="10"/>
        <item x="21"/>
        <item x="13"/>
        <item x="24"/>
        <item x="16"/>
        <item x="27"/>
        <item x="19"/>
        <item x="30"/>
        <item x="22"/>
        <item x="33"/>
        <item x="36"/>
        <item x="25"/>
        <item x="39"/>
        <item x="28"/>
        <item x="31"/>
        <item x="34"/>
        <item x="37"/>
        <item x="4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ime_Totale" fld="15" baseField="0" baseItem="0"/>
  </dataFields>
  <chartFormats count="3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_Vehicule" xr10:uid="{D78BD51B-5F73-46C8-8D50-BD090F427CF0}" sourceName="Année_Vehicule">
  <pivotTables>
    <pivotTable tabId="2" name="Tableau croisé dynamique1"/>
  </pivotTables>
  <data>
    <tabular pivotCacheId="1807691214">
      <items count="15">
        <i x="13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ntant_Risque" xr10:uid="{23403942-7A5D-4205-82B0-A83AD20AC49B}" sourceName="Montant_Risque">
  <pivotTables>
    <pivotTable tabId="2" name="Tableau croisé dynamique1"/>
  </pivotTables>
  <data>
    <tabular pivotCacheId="1807691214">
      <items count="41">
        <i x="2" s="1"/>
        <i x="5" s="1"/>
        <i x="8" s="1"/>
        <i x="11" s="1"/>
        <i x="14" s="1"/>
        <i x="17" s="1"/>
        <i x="20" s="1"/>
        <i x="0" s="1"/>
        <i x="23" s="1"/>
        <i x="3" s="1"/>
        <i x="26" s="1"/>
        <i x="29" s="1"/>
        <i x="6" s="1"/>
        <i x="32" s="1"/>
        <i x="1" s="1"/>
        <i x="35" s="1"/>
        <i x="9" s="1"/>
        <i x="38" s="1"/>
        <i x="4" s="1"/>
        <i x="12" s="1"/>
        <i x="7" s="1"/>
        <i x="15" s="1"/>
        <i x="18" s="1"/>
        <i x="10" s="1"/>
        <i x="21" s="1"/>
        <i x="13" s="1"/>
        <i x="24" s="1"/>
        <i x="16" s="1"/>
        <i x="27" s="1"/>
        <i x="19" s="1"/>
        <i x="30" s="1"/>
        <i x="22" s="1"/>
        <i x="33" s="1"/>
        <i x="36" s="1"/>
        <i x="25" s="1"/>
        <i x="39" s="1"/>
        <i x="28" s="1"/>
        <i x="31" s="1"/>
        <i x="34" s="1"/>
        <i x="37" s="1"/>
        <i x="4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ime_Base" xr10:uid="{1F589FC9-9911-495F-85FD-AC9CF4436DC9}" sourceName="Prime_Base">
  <pivotTables>
    <pivotTable tabId="2" name="Tableau croisé dynamique1"/>
  </pivotTables>
  <data>
    <tabular pivotCacheId="1807691214">
      <items count="4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_Vehicule" xr10:uid="{211C8EB7-CD8A-4841-A685-770866CA5DD9}" cache="Segment_Année_Vehicule" caption="Année_Vehicule" style="SlicerStyleDark5" rowHeight="241300"/>
  <slicer name="Montant_Risque" xr10:uid="{9734C921-C14A-4D04-81D6-031DFCB61300}" cache="Segment_Montant_Risque" caption="Montant_Risque" style="SlicerStyleDark5" rowHeight="241300"/>
  <slicer name="Prime_Base" xr10:uid="{FE53700C-E3C0-43C2-923F-E441B97129E2}" cache="Segment_Prime_Base" caption="Prime_Base" startItem="5" style="SlicerStyleDark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83941-BCB7-435D-A9D8-53B3FD4E10C5}" name="Tableau1" displayName="Tableau1" ref="A1:V42" totalsRowShown="0">
  <autoFilter ref="A1:V42" xr:uid="{83283941-BCB7-435D-A9D8-53B3FD4E10C5}"/>
  <tableColumns count="22">
    <tableColumn id="1" xr3:uid="{03585BD5-1FA8-40C0-BE0C-7875EB618F85}" name="ID_Client"/>
    <tableColumn id="2" xr3:uid="{F15035AE-1E9B-4DB8-9DA9-91DF179F342B}" name="Nom"/>
    <tableColumn id="3" xr3:uid="{C630FE66-EFD3-4906-976D-7E042E955EE1}" name="Prénom"/>
    <tableColumn id="4" xr3:uid="{65FE741B-4C07-49BF-A14D-ED129492AF80}" name="CIN"/>
    <tableColumn id="5" xr3:uid="{E0E6CEA9-4F39-49CA-A56C-A7A95FEDDDCC}" name="Ville"/>
    <tableColumn id="6" xr3:uid="{477372D3-DA5D-4E6F-B7FA-9D24454C5F83}" name="Type_Vehicule"/>
    <tableColumn id="7" xr3:uid="{16829992-F5D4-4CE1-A53A-39D58418F15C}" name="Marque"/>
    <tableColumn id="8" xr3:uid="{D68FCF74-12D7-4910-B535-67AB6BC9D44E}" name="Année_Vehicule"/>
    <tableColumn id="9" xr3:uid="{1C166A35-5ED8-4BF1-9ED3-8EE4CAB164F4}" name="Valeur_Vehicule"/>
    <tableColumn id="10" xr3:uid="{D30DAFDA-73C4-4B93-B032-C203B547731F}" name="Type_Assurance"/>
    <tableColumn id="11" xr3:uid="{4D572E90-1A1C-4FC0-BE85-962123C97C4C}" name="Date_Souscription" dataDxfId="0"/>
    <tableColumn id="12" xr3:uid="{7F9F3A68-3A56-4C22-9B86-DCD9A6EC3AA7}" name="Durée"/>
    <tableColumn id="13" xr3:uid="{67318962-901D-4113-8976-2BF8DCB91AF0}" name="Prime_Base"/>
    <tableColumn id="14" xr3:uid="{9318BAFB-E78A-4466-AC4D-4162F865A96D}" name="Taux_Risque"/>
    <tableColumn id="15" xr3:uid="{A80DAA9A-9776-49B0-A212-1F8025CF4577}" name="Montant_Risque"/>
    <tableColumn id="16" xr3:uid="{0839AF9F-75A6-4375-BF1E-2E07A323F0DE}" name="Prime_Totale"/>
    <tableColumn id="17" xr3:uid="{139AF248-B5FF-4781-B7E9-CE4E977121BB}" name="Statut_Client"/>
    <tableColumn id="18" xr3:uid="{200BBCF1-2FAB-4360-BD5E-6931D2523E41}" name="clasmment"/>
    <tableColumn id="19" xr3:uid="{326ABC73-A3BE-416F-89AB-993EC37326EB}" name="nb_contrat"/>
    <tableColumn id="20" xr3:uid="{BCD05FC3-4652-4F25-8534-B46A1083BDF3}" name="nb_voiture"/>
    <tableColumn id="21" xr3:uid="{20BB6F5C-A47C-4D99-B900-B6FC87F90601}" name="Total primes – Ouarzazate"/>
    <tableColumn id="22" xr3:uid="{49C9EDE5-7945-4022-B029-6896DC5D357D}" name="Total primes – Cam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nalisé 1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76210D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lacé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A1F3-0283-42DF-BE4D-58549B517EFB}">
  <dimension ref="A1:V42"/>
  <sheetViews>
    <sheetView topLeftCell="A2" workbookViewId="0">
      <selection activeCell="A2" sqref="A2:V42"/>
    </sheetView>
  </sheetViews>
  <sheetFormatPr baseColWidth="10" defaultRowHeight="14.5" x14ac:dyDescent="0.35"/>
  <cols>
    <col min="6" max="6" width="14.90625" customWidth="1"/>
    <col min="8" max="8" width="16.26953125" customWidth="1"/>
    <col min="9" max="10" width="16.36328125" customWidth="1"/>
    <col min="11" max="11" width="18.1796875" customWidth="1"/>
    <col min="13" max="13" width="12.6328125" customWidth="1"/>
    <col min="14" max="14" width="13.36328125" customWidth="1"/>
    <col min="15" max="15" width="16.81640625" customWidth="1"/>
    <col min="16" max="16" width="14" customWidth="1"/>
    <col min="17" max="17" width="13.81640625" customWidth="1"/>
    <col min="18" max="18" width="12" customWidth="1"/>
    <col min="19" max="19" width="12.1796875" customWidth="1"/>
    <col min="20" max="20" width="12" customWidth="1"/>
    <col min="21" max="21" width="24.7265625" customWidth="1"/>
    <col min="22" max="22" width="21.542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157</v>
      </c>
      <c r="S1" t="s">
        <v>155</v>
      </c>
      <c r="T1" t="s">
        <v>156</v>
      </c>
      <c r="U1" t="s">
        <v>158</v>
      </c>
      <c r="V1" t="s">
        <v>159</v>
      </c>
    </row>
    <row r="3" spans="1:22" x14ac:dyDescent="0.3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2011</v>
      </c>
      <c r="I3">
        <v>93000</v>
      </c>
      <c r="J3" t="s">
        <v>23</v>
      </c>
      <c r="K3" s="26">
        <v>45659</v>
      </c>
      <c r="L3">
        <v>12</v>
      </c>
      <c r="M3">
        <v>1560</v>
      </c>
      <c r="N3">
        <v>0.05</v>
      </c>
      <c r="O3">
        <v>4650</v>
      </c>
      <c r="P3">
        <v>6210</v>
      </c>
      <c r="Q3" t="s">
        <v>169</v>
      </c>
      <c r="R3">
        <v>36</v>
      </c>
      <c r="S3">
        <v>13</v>
      </c>
      <c r="T3">
        <v>13</v>
      </c>
      <c r="U3">
        <v>72060</v>
      </c>
      <c r="V3">
        <v>152100</v>
      </c>
    </row>
    <row r="4" spans="1:22" x14ac:dyDescent="0.35">
      <c r="A4">
        <v>2</v>
      </c>
      <c r="B4" t="s">
        <v>24</v>
      </c>
      <c r="C4" t="s">
        <v>25</v>
      </c>
      <c r="D4" t="s">
        <v>26</v>
      </c>
      <c r="E4" t="s">
        <v>20</v>
      </c>
      <c r="F4" t="s">
        <v>27</v>
      </c>
      <c r="G4" t="s">
        <v>28</v>
      </c>
      <c r="H4">
        <v>2012</v>
      </c>
      <c r="I4">
        <v>96000</v>
      </c>
      <c r="J4" t="s">
        <v>29</v>
      </c>
      <c r="K4" s="26">
        <v>45660</v>
      </c>
      <c r="L4">
        <v>12</v>
      </c>
      <c r="M4">
        <v>1620</v>
      </c>
      <c r="N4">
        <v>0.06</v>
      </c>
      <c r="O4">
        <v>5760</v>
      </c>
      <c r="P4">
        <v>7380</v>
      </c>
      <c r="Q4" t="s">
        <v>169</v>
      </c>
      <c r="R4">
        <v>31</v>
      </c>
    </row>
    <row r="5" spans="1:22" x14ac:dyDescent="0.35">
      <c r="A5">
        <v>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2013</v>
      </c>
      <c r="I5">
        <v>99000</v>
      </c>
      <c r="J5" t="s">
        <v>36</v>
      </c>
      <c r="K5" s="26">
        <v>45661</v>
      </c>
      <c r="L5">
        <v>12</v>
      </c>
      <c r="M5">
        <v>1680</v>
      </c>
      <c r="N5">
        <v>0.03</v>
      </c>
      <c r="O5">
        <v>2970</v>
      </c>
      <c r="P5">
        <v>4650</v>
      </c>
      <c r="Q5" t="s">
        <v>170</v>
      </c>
      <c r="R5">
        <v>38</v>
      </c>
    </row>
    <row r="6" spans="1:22" x14ac:dyDescent="0.35">
      <c r="A6">
        <v>4</v>
      </c>
      <c r="B6" t="s">
        <v>37</v>
      </c>
      <c r="C6" t="s">
        <v>38</v>
      </c>
      <c r="D6" t="s">
        <v>39</v>
      </c>
      <c r="E6" t="s">
        <v>40</v>
      </c>
      <c r="F6" t="s">
        <v>21</v>
      </c>
      <c r="G6" t="s">
        <v>41</v>
      </c>
      <c r="H6">
        <v>2014</v>
      </c>
      <c r="I6">
        <v>102000</v>
      </c>
      <c r="J6" t="s">
        <v>23</v>
      </c>
      <c r="K6" s="26">
        <v>45662</v>
      </c>
      <c r="L6">
        <v>12</v>
      </c>
      <c r="M6">
        <v>1740</v>
      </c>
      <c r="N6">
        <v>0.05</v>
      </c>
      <c r="O6">
        <v>5100</v>
      </c>
      <c r="P6">
        <v>6840</v>
      </c>
      <c r="Q6" t="s">
        <v>169</v>
      </c>
      <c r="R6">
        <v>33</v>
      </c>
    </row>
    <row r="7" spans="1:22" x14ac:dyDescent="0.35">
      <c r="A7">
        <v>5</v>
      </c>
      <c r="B7" t="s">
        <v>42</v>
      </c>
      <c r="C7" t="s">
        <v>43</v>
      </c>
      <c r="D7" t="s">
        <v>44</v>
      </c>
      <c r="E7" t="s">
        <v>45</v>
      </c>
      <c r="F7" t="s">
        <v>27</v>
      </c>
      <c r="G7" t="s">
        <v>46</v>
      </c>
      <c r="H7">
        <v>2015</v>
      </c>
      <c r="I7">
        <v>105000</v>
      </c>
      <c r="J7" t="s">
        <v>29</v>
      </c>
      <c r="K7" s="26">
        <v>45663</v>
      </c>
      <c r="L7">
        <v>12</v>
      </c>
      <c r="M7">
        <v>1800</v>
      </c>
      <c r="N7">
        <v>0.06</v>
      </c>
      <c r="O7">
        <v>6300</v>
      </c>
      <c r="P7">
        <v>8100</v>
      </c>
      <c r="Q7" t="s">
        <v>169</v>
      </c>
      <c r="R7">
        <v>27</v>
      </c>
    </row>
    <row r="8" spans="1:22" x14ac:dyDescent="0.35">
      <c r="A8">
        <v>6</v>
      </c>
      <c r="B8" t="s">
        <v>47</v>
      </c>
      <c r="C8" t="s">
        <v>48</v>
      </c>
      <c r="D8" t="s">
        <v>49</v>
      </c>
      <c r="E8" t="s">
        <v>50</v>
      </c>
      <c r="F8" t="s">
        <v>34</v>
      </c>
      <c r="G8" t="s">
        <v>51</v>
      </c>
      <c r="H8">
        <v>2016</v>
      </c>
      <c r="I8">
        <v>108000</v>
      </c>
      <c r="J8" t="s">
        <v>36</v>
      </c>
      <c r="K8" s="26">
        <v>45664</v>
      </c>
      <c r="L8">
        <v>12</v>
      </c>
      <c r="M8">
        <v>1860</v>
      </c>
      <c r="N8">
        <v>0.03</v>
      </c>
      <c r="O8">
        <v>3240</v>
      </c>
      <c r="P8">
        <v>5100</v>
      </c>
      <c r="Q8" t="s">
        <v>169</v>
      </c>
      <c r="R8">
        <v>35</v>
      </c>
    </row>
    <row r="9" spans="1:22" x14ac:dyDescent="0.35">
      <c r="A9">
        <v>7</v>
      </c>
      <c r="B9" t="s">
        <v>52</v>
      </c>
      <c r="C9" t="s">
        <v>53</v>
      </c>
      <c r="D9" t="s">
        <v>54</v>
      </c>
      <c r="E9" t="s">
        <v>33</v>
      </c>
      <c r="F9" t="s">
        <v>21</v>
      </c>
      <c r="G9" t="s">
        <v>22</v>
      </c>
      <c r="H9">
        <v>2017</v>
      </c>
      <c r="I9">
        <v>111000</v>
      </c>
      <c r="J9" t="s">
        <v>23</v>
      </c>
      <c r="K9" s="26">
        <v>45665</v>
      </c>
      <c r="L9">
        <v>12</v>
      </c>
      <c r="M9">
        <v>1920</v>
      </c>
      <c r="N9">
        <v>0.05</v>
      </c>
      <c r="O9">
        <v>5550</v>
      </c>
      <c r="P9">
        <v>7470</v>
      </c>
      <c r="Q9" t="s">
        <v>169</v>
      </c>
      <c r="R9">
        <v>29</v>
      </c>
    </row>
    <row r="10" spans="1:22" x14ac:dyDescent="0.35">
      <c r="A10">
        <v>8</v>
      </c>
      <c r="B10" t="s">
        <v>55</v>
      </c>
      <c r="C10" t="s">
        <v>56</v>
      </c>
      <c r="D10" t="s">
        <v>57</v>
      </c>
      <c r="E10" t="s">
        <v>58</v>
      </c>
      <c r="F10" t="s">
        <v>27</v>
      </c>
      <c r="G10" t="s">
        <v>28</v>
      </c>
      <c r="H10">
        <v>2018</v>
      </c>
      <c r="I10">
        <v>114000</v>
      </c>
      <c r="J10" t="s">
        <v>29</v>
      </c>
      <c r="K10" s="26">
        <v>45666</v>
      </c>
      <c r="L10">
        <v>12</v>
      </c>
      <c r="M10">
        <v>1980</v>
      </c>
      <c r="N10">
        <v>0.06</v>
      </c>
      <c r="O10">
        <v>6840</v>
      </c>
      <c r="P10">
        <v>8820</v>
      </c>
      <c r="Q10" t="s">
        <v>169</v>
      </c>
      <c r="R10">
        <v>23</v>
      </c>
    </row>
    <row r="11" spans="1:22" x14ac:dyDescent="0.35">
      <c r="A11">
        <v>9</v>
      </c>
      <c r="B11" t="s">
        <v>59</v>
      </c>
      <c r="C11" t="s">
        <v>60</v>
      </c>
      <c r="D11" t="s">
        <v>61</v>
      </c>
      <c r="E11" t="s">
        <v>40</v>
      </c>
      <c r="F11" t="s">
        <v>34</v>
      </c>
      <c r="G11" t="s">
        <v>35</v>
      </c>
      <c r="H11">
        <v>2019</v>
      </c>
      <c r="I11">
        <v>117000</v>
      </c>
      <c r="J11" t="s">
        <v>36</v>
      </c>
      <c r="K11" s="26">
        <v>45667</v>
      </c>
      <c r="L11">
        <v>12</v>
      </c>
      <c r="M11">
        <v>2040</v>
      </c>
      <c r="N11">
        <v>0.03</v>
      </c>
      <c r="O11">
        <v>3510</v>
      </c>
      <c r="P11">
        <v>5550</v>
      </c>
      <c r="Q11" t="s">
        <v>169</v>
      </c>
      <c r="R11">
        <v>32</v>
      </c>
      <c r="T11" t="s">
        <v>160</v>
      </c>
      <c r="U11">
        <v>3</v>
      </c>
    </row>
    <row r="12" spans="1:22" x14ac:dyDescent="0.35">
      <c r="A12">
        <v>10</v>
      </c>
      <c r="B12" t="s">
        <v>62</v>
      </c>
      <c r="C12" t="s">
        <v>63</v>
      </c>
      <c r="D12" t="s">
        <v>64</v>
      </c>
      <c r="E12" t="s">
        <v>50</v>
      </c>
      <c r="F12" t="s">
        <v>21</v>
      </c>
      <c r="G12" t="s">
        <v>41</v>
      </c>
      <c r="H12">
        <v>2020</v>
      </c>
      <c r="I12">
        <v>120000</v>
      </c>
      <c r="J12" t="s">
        <v>23</v>
      </c>
      <c r="K12" s="26">
        <v>45668</v>
      </c>
      <c r="L12">
        <v>12</v>
      </c>
      <c r="M12">
        <v>2100</v>
      </c>
      <c r="N12">
        <v>0.05</v>
      </c>
      <c r="O12">
        <v>6000</v>
      </c>
      <c r="P12">
        <v>8100</v>
      </c>
      <c r="Q12" t="s">
        <v>169</v>
      </c>
      <c r="R12">
        <v>26</v>
      </c>
      <c r="T12" t="s">
        <v>161</v>
      </c>
      <c r="U12" t="s">
        <v>30</v>
      </c>
    </row>
    <row r="13" spans="1:22" x14ac:dyDescent="0.35">
      <c r="A13">
        <v>11</v>
      </c>
      <c r="B13" t="s">
        <v>65</v>
      </c>
      <c r="C13" t="s">
        <v>66</v>
      </c>
      <c r="D13" t="s">
        <v>67</v>
      </c>
      <c r="E13" t="s">
        <v>45</v>
      </c>
      <c r="F13" t="s">
        <v>27</v>
      </c>
      <c r="G13" t="s">
        <v>46</v>
      </c>
      <c r="H13">
        <v>2021</v>
      </c>
      <c r="I13">
        <v>123000</v>
      </c>
      <c r="J13" t="s">
        <v>29</v>
      </c>
      <c r="K13" s="26">
        <v>45669</v>
      </c>
      <c r="L13">
        <v>12</v>
      </c>
      <c r="M13">
        <v>2160</v>
      </c>
      <c r="N13">
        <v>0.06</v>
      </c>
      <c r="O13">
        <v>7380</v>
      </c>
      <c r="P13">
        <v>9540</v>
      </c>
      <c r="Q13" t="s">
        <v>169</v>
      </c>
      <c r="R13">
        <v>20</v>
      </c>
      <c r="T13" t="s">
        <v>162</v>
      </c>
      <c r="U13">
        <v>4650</v>
      </c>
    </row>
    <row r="14" spans="1:22" x14ac:dyDescent="0.35">
      <c r="A14">
        <v>12</v>
      </c>
      <c r="B14" t="s">
        <v>68</v>
      </c>
      <c r="C14" t="s">
        <v>69</v>
      </c>
      <c r="D14" t="s">
        <v>70</v>
      </c>
      <c r="E14" t="s">
        <v>33</v>
      </c>
      <c r="F14" t="s">
        <v>34</v>
      </c>
      <c r="G14" t="s">
        <v>51</v>
      </c>
      <c r="H14">
        <v>2022</v>
      </c>
      <c r="I14">
        <v>126000</v>
      </c>
      <c r="J14" t="s">
        <v>36</v>
      </c>
      <c r="K14" s="26">
        <v>45670</v>
      </c>
      <c r="L14">
        <v>12</v>
      </c>
      <c r="M14">
        <v>2220</v>
      </c>
      <c r="N14">
        <v>0.03</v>
      </c>
      <c r="O14">
        <v>3780</v>
      </c>
      <c r="P14">
        <v>6000</v>
      </c>
      <c r="Q14" t="s">
        <v>169</v>
      </c>
      <c r="R14">
        <v>29</v>
      </c>
    </row>
    <row r="15" spans="1:22" x14ac:dyDescent="0.35">
      <c r="A15">
        <v>13</v>
      </c>
      <c r="B15" t="s">
        <v>71</v>
      </c>
      <c r="C15" t="s">
        <v>72</v>
      </c>
      <c r="D15" t="s">
        <v>73</v>
      </c>
      <c r="E15" t="s">
        <v>20</v>
      </c>
      <c r="F15" t="s">
        <v>21</v>
      </c>
      <c r="G15" t="s">
        <v>22</v>
      </c>
      <c r="H15">
        <v>2023</v>
      </c>
      <c r="I15">
        <v>129000</v>
      </c>
      <c r="J15" t="s">
        <v>23</v>
      </c>
      <c r="K15" s="26">
        <v>45671</v>
      </c>
      <c r="L15">
        <v>12</v>
      </c>
      <c r="M15">
        <v>2280</v>
      </c>
      <c r="N15">
        <v>0.05</v>
      </c>
      <c r="O15">
        <v>6450</v>
      </c>
      <c r="P15">
        <v>8730</v>
      </c>
      <c r="Q15" t="s">
        <v>169</v>
      </c>
      <c r="R15">
        <v>22</v>
      </c>
    </row>
    <row r="16" spans="1:22" x14ac:dyDescent="0.35">
      <c r="A16">
        <v>14</v>
      </c>
      <c r="B16" t="s">
        <v>74</v>
      </c>
      <c r="C16" t="s">
        <v>75</v>
      </c>
      <c r="D16" t="s">
        <v>76</v>
      </c>
      <c r="E16" t="s">
        <v>50</v>
      </c>
      <c r="F16" t="s">
        <v>27</v>
      </c>
      <c r="G16" t="s">
        <v>28</v>
      </c>
      <c r="H16">
        <v>2010</v>
      </c>
      <c r="I16">
        <v>132000</v>
      </c>
      <c r="J16" t="s">
        <v>29</v>
      </c>
      <c r="K16" s="26">
        <v>45672</v>
      </c>
      <c r="L16">
        <v>12</v>
      </c>
      <c r="M16">
        <v>2340</v>
      </c>
      <c r="N16">
        <v>0.06</v>
      </c>
      <c r="O16">
        <v>7920</v>
      </c>
      <c r="P16">
        <v>10260</v>
      </c>
      <c r="Q16" t="s">
        <v>169</v>
      </c>
      <c r="R16">
        <v>16</v>
      </c>
    </row>
    <row r="17" spans="1:18" x14ac:dyDescent="0.35">
      <c r="A17">
        <v>15</v>
      </c>
      <c r="B17" t="s">
        <v>77</v>
      </c>
      <c r="C17" t="s">
        <v>78</v>
      </c>
      <c r="D17" t="s">
        <v>79</v>
      </c>
      <c r="E17" t="s">
        <v>45</v>
      </c>
      <c r="F17" t="s">
        <v>34</v>
      </c>
      <c r="G17" t="s">
        <v>35</v>
      </c>
      <c r="H17">
        <v>2011</v>
      </c>
      <c r="I17">
        <v>135000</v>
      </c>
      <c r="J17" t="s">
        <v>36</v>
      </c>
      <c r="K17" s="26">
        <v>45673</v>
      </c>
      <c r="L17">
        <v>12</v>
      </c>
      <c r="M17">
        <v>2400</v>
      </c>
      <c r="N17">
        <v>0.03</v>
      </c>
      <c r="O17">
        <v>4050</v>
      </c>
      <c r="P17">
        <v>6450</v>
      </c>
      <c r="Q17" t="s">
        <v>169</v>
      </c>
      <c r="R17">
        <v>26</v>
      </c>
    </row>
    <row r="18" spans="1:18" x14ac:dyDescent="0.35">
      <c r="A18">
        <v>16</v>
      </c>
      <c r="B18" t="s">
        <v>80</v>
      </c>
      <c r="C18" t="s">
        <v>81</v>
      </c>
      <c r="D18" t="s">
        <v>82</v>
      </c>
      <c r="E18" t="s">
        <v>40</v>
      </c>
      <c r="F18" t="s">
        <v>21</v>
      </c>
      <c r="G18" t="s">
        <v>41</v>
      </c>
      <c r="H18">
        <v>2012</v>
      </c>
      <c r="I18">
        <v>138000</v>
      </c>
      <c r="J18" t="s">
        <v>23</v>
      </c>
      <c r="K18" s="26">
        <v>45674</v>
      </c>
      <c r="L18">
        <v>12</v>
      </c>
      <c r="M18">
        <v>2460</v>
      </c>
      <c r="N18">
        <v>0.05</v>
      </c>
      <c r="O18">
        <v>6900</v>
      </c>
      <c r="P18">
        <v>9360</v>
      </c>
      <c r="Q18" t="s">
        <v>169</v>
      </c>
      <c r="R18">
        <v>19</v>
      </c>
    </row>
    <row r="19" spans="1:18" x14ac:dyDescent="0.35">
      <c r="A19">
        <v>17</v>
      </c>
      <c r="B19" t="s">
        <v>83</v>
      </c>
      <c r="C19" t="s">
        <v>84</v>
      </c>
      <c r="D19" t="s">
        <v>85</v>
      </c>
      <c r="E19" t="s">
        <v>33</v>
      </c>
      <c r="F19" t="s">
        <v>27</v>
      </c>
      <c r="G19" t="s">
        <v>46</v>
      </c>
      <c r="H19">
        <v>2013</v>
      </c>
      <c r="I19">
        <v>141000</v>
      </c>
      <c r="J19" t="s">
        <v>29</v>
      </c>
      <c r="K19" s="26">
        <v>45675</v>
      </c>
      <c r="L19">
        <v>12</v>
      </c>
      <c r="M19">
        <v>2520</v>
      </c>
      <c r="N19">
        <v>0.06</v>
      </c>
      <c r="O19">
        <v>8460</v>
      </c>
      <c r="P19">
        <v>10980</v>
      </c>
      <c r="Q19" t="s">
        <v>169</v>
      </c>
      <c r="R19">
        <v>14</v>
      </c>
    </row>
    <row r="20" spans="1:18" x14ac:dyDescent="0.35">
      <c r="A20">
        <v>18</v>
      </c>
      <c r="B20" t="s">
        <v>86</v>
      </c>
      <c r="C20" t="s">
        <v>87</v>
      </c>
      <c r="D20" t="s">
        <v>88</v>
      </c>
      <c r="E20" t="s">
        <v>20</v>
      </c>
      <c r="F20" t="s">
        <v>34</v>
      </c>
      <c r="G20" t="s">
        <v>51</v>
      </c>
      <c r="H20">
        <v>2014</v>
      </c>
      <c r="I20">
        <v>144000</v>
      </c>
      <c r="J20" t="s">
        <v>36</v>
      </c>
      <c r="K20" s="26">
        <v>45676</v>
      </c>
      <c r="L20">
        <v>12</v>
      </c>
      <c r="M20">
        <v>2580</v>
      </c>
      <c r="N20">
        <v>0.03</v>
      </c>
      <c r="O20">
        <v>4320</v>
      </c>
      <c r="P20">
        <v>6900</v>
      </c>
      <c r="Q20" t="s">
        <v>169</v>
      </c>
      <c r="R20">
        <v>23</v>
      </c>
    </row>
    <row r="21" spans="1:18" x14ac:dyDescent="0.35">
      <c r="A21">
        <v>19</v>
      </c>
      <c r="B21" t="s">
        <v>89</v>
      </c>
      <c r="C21" t="s">
        <v>90</v>
      </c>
      <c r="D21" t="s">
        <v>91</v>
      </c>
      <c r="E21" t="s">
        <v>50</v>
      </c>
      <c r="F21" t="s">
        <v>21</v>
      </c>
      <c r="G21" t="s">
        <v>22</v>
      </c>
      <c r="H21">
        <v>2015</v>
      </c>
      <c r="I21">
        <v>147000</v>
      </c>
      <c r="J21" t="s">
        <v>23</v>
      </c>
      <c r="K21" s="26">
        <v>45677</v>
      </c>
      <c r="L21">
        <v>12</v>
      </c>
      <c r="M21">
        <v>2640</v>
      </c>
      <c r="N21">
        <v>0.05</v>
      </c>
      <c r="O21">
        <v>7350</v>
      </c>
      <c r="P21">
        <v>9990</v>
      </c>
      <c r="Q21" t="s">
        <v>169</v>
      </c>
      <c r="R21">
        <v>16</v>
      </c>
    </row>
    <row r="22" spans="1:18" x14ac:dyDescent="0.35">
      <c r="A22">
        <v>20</v>
      </c>
      <c r="B22" t="s">
        <v>92</v>
      </c>
      <c r="C22" t="s">
        <v>93</v>
      </c>
      <c r="D22" t="s">
        <v>94</v>
      </c>
      <c r="E22" t="s">
        <v>45</v>
      </c>
      <c r="F22" t="s">
        <v>27</v>
      </c>
      <c r="G22" t="s">
        <v>28</v>
      </c>
      <c r="H22">
        <v>2016</v>
      </c>
      <c r="I22">
        <v>150000</v>
      </c>
      <c r="J22" t="s">
        <v>29</v>
      </c>
      <c r="K22" s="26">
        <v>45678</v>
      </c>
      <c r="L22">
        <v>12</v>
      </c>
      <c r="M22">
        <v>2700</v>
      </c>
      <c r="N22">
        <v>0.06</v>
      </c>
      <c r="O22">
        <v>9000</v>
      </c>
      <c r="P22">
        <v>11700</v>
      </c>
      <c r="Q22" t="s">
        <v>169</v>
      </c>
      <c r="R22">
        <v>12</v>
      </c>
    </row>
    <row r="23" spans="1:18" x14ac:dyDescent="0.35">
      <c r="A23">
        <v>21</v>
      </c>
      <c r="B23" t="s">
        <v>95</v>
      </c>
      <c r="C23" t="s">
        <v>96</v>
      </c>
      <c r="D23" t="s">
        <v>97</v>
      </c>
      <c r="E23" t="s">
        <v>40</v>
      </c>
      <c r="F23" t="s">
        <v>34</v>
      </c>
      <c r="G23" t="s">
        <v>35</v>
      </c>
      <c r="H23">
        <v>2017</v>
      </c>
      <c r="I23">
        <v>153000</v>
      </c>
      <c r="J23" t="s">
        <v>36</v>
      </c>
      <c r="K23" s="26">
        <v>45679</v>
      </c>
      <c r="L23">
        <v>12</v>
      </c>
      <c r="M23">
        <v>2760</v>
      </c>
      <c r="N23">
        <v>0.03</v>
      </c>
      <c r="O23">
        <v>4590</v>
      </c>
      <c r="P23">
        <v>7350</v>
      </c>
      <c r="Q23" t="s">
        <v>169</v>
      </c>
      <c r="R23">
        <v>20</v>
      </c>
    </row>
    <row r="24" spans="1:18" x14ac:dyDescent="0.35">
      <c r="A24">
        <v>22</v>
      </c>
      <c r="B24" t="s">
        <v>98</v>
      </c>
      <c r="C24" t="s">
        <v>99</v>
      </c>
      <c r="D24" t="s">
        <v>100</v>
      </c>
      <c r="E24" t="s">
        <v>33</v>
      </c>
      <c r="F24" t="s">
        <v>21</v>
      </c>
      <c r="G24" t="s">
        <v>41</v>
      </c>
      <c r="H24">
        <v>2018</v>
      </c>
      <c r="I24">
        <v>156000</v>
      </c>
      <c r="J24" t="s">
        <v>23</v>
      </c>
      <c r="K24" s="26">
        <v>45680</v>
      </c>
      <c r="L24">
        <v>12</v>
      </c>
      <c r="M24">
        <v>2820</v>
      </c>
      <c r="N24">
        <v>0.05</v>
      </c>
      <c r="O24">
        <v>7800</v>
      </c>
      <c r="P24">
        <v>10620</v>
      </c>
      <c r="Q24" t="s">
        <v>169</v>
      </c>
      <c r="R24">
        <v>13</v>
      </c>
    </row>
    <row r="25" spans="1:18" x14ac:dyDescent="0.35">
      <c r="A25">
        <v>23</v>
      </c>
      <c r="B25" t="s">
        <v>101</v>
      </c>
      <c r="C25" t="s">
        <v>102</v>
      </c>
      <c r="D25" t="s">
        <v>103</v>
      </c>
      <c r="E25" t="s">
        <v>50</v>
      </c>
      <c r="F25" t="s">
        <v>27</v>
      </c>
      <c r="G25" t="s">
        <v>46</v>
      </c>
      <c r="H25">
        <v>2019</v>
      </c>
      <c r="I25">
        <v>159000</v>
      </c>
      <c r="J25" t="s">
        <v>29</v>
      </c>
      <c r="K25" s="26">
        <v>45681</v>
      </c>
      <c r="L25">
        <v>12</v>
      </c>
      <c r="M25">
        <v>2880</v>
      </c>
      <c r="N25">
        <v>0.06</v>
      </c>
      <c r="O25">
        <v>9540</v>
      </c>
      <c r="P25">
        <v>12420</v>
      </c>
      <c r="Q25" t="s">
        <v>169</v>
      </c>
      <c r="R25">
        <v>10</v>
      </c>
    </row>
    <row r="26" spans="1:18" x14ac:dyDescent="0.35">
      <c r="A26">
        <v>24</v>
      </c>
      <c r="B26" t="s">
        <v>104</v>
      </c>
      <c r="C26" t="s">
        <v>105</v>
      </c>
      <c r="D26" t="s">
        <v>106</v>
      </c>
      <c r="E26" t="s">
        <v>40</v>
      </c>
      <c r="F26" t="s">
        <v>34</v>
      </c>
      <c r="G26" t="s">
        <v>51</v>
      </c>
      <c r="H26">
        <v>2020</v>
      </c>
      <c r="I26">
        <v>162000</v>
      </c>
      <c r="J26" t="s">
        <v>36</v>
      </c>
      <c r="K26" s="26">
        <v>45682</v>
      </c>
      <c r="L26">
        <v>12</v>
      </c>
      <c r="M26">
        <v>2940</v>
      </c>
      <c r="N26">
        <v>0.03</v>
      </c>
      <c r="O26">
        <v>4860</v>
      </c>
      <c r="P26">
        <v>7800</v>
      </c>
      <c r="Q26" t="s">
        <v>169</v>
      </c>
      <c r="R26">
        <v>17</v>
      </c>
    </row>
    <row r="27" spans="1:18" x14ac:dyDescent="0.35">
      <c r="A27">
        <v>25</v>
      </c>
      <c r="B27" t="s">
        <v>107</v>
      </c>
      <c r="C27" t="s">
        <v>108</v>
      </c>
      <c r="D27" t="s">
        <v>109</v>
      </c>
      <c r="E27" t="s">
        <v>45</v>
      </c>
      <c r="F27" t="s">
        <v>21</v>
      </c>
      <c r="G27" t="s">
        <v>22</v>
      </c>
      <c r="H27">
        <v>2021</v>
      </c>
      <c r="I27">
        <v>165000</v>
      </c>
      <c r="J27" t="s">
        <v>23</v>
      </c>
      <c r="K27" s="26">
        <v>45683</v>
      </c>
      <c r="L27">
        <v>12</v>
      </c>
      <c r="M27">
        <v>3000</v>
      </c>
      <c r="N27">
        <v>0.05</v>
      </c>
      <c r="O27">
        <v>8250</v>
      </c>
      <c r="P27">
        <v>11250</v>
      </c>
      <c r="Q27" t="s">
        <v>169</v>
      </c>
      <c r="R27">
        <v>11</v>
      </c>
    </row>
    <row r="28" spans="1:18" x14ac:dyDescent="0.35">
      <c r="A28">
        <v>26</v>
      </c>
      <c r="B28" t="s">
        <v>110</v>
      </c>
      <c r="C28" t="s">
        <v>111</v>
      </c>
      <c r="D28" t="s">
        <v>112</v>
      </c>
      <c r="E28" t="s">
        <v>20</v>
      </c>
      <c r="F28" t="s">
        <v>27</v>
      </c>
      <c r="G28" t="s">
        <v>28</v>
      </c>
      <c r="H28">
        <v>2022</v>
      </c>
      <c r="I28">
        <v>168000</v>
      </c>
      <c r="J28" t="s">
        <v>29</v>
      </c>
      <c r="K28" s="26">
        <v>45684</v>
      </c>
      <c r="L28">
        <v>12</v>
      </c>
      <c r="M28">
        <v>3060</v>
      </c>
      <c r="N28">
        <v>0.06</v>
      </c>
      <c r="O28">
        <v>10080</v>
      </c>
      <c r="P28">
        <v>13140</v>
      </c>
      <c r="Q28" t="s">
        <v>169</v>
      </c>
      <c r="R28">
        <v>7</v>
      </c>
    </row>
    <row r="29" spans="1:18" x14ac:dyDescent="0.35">
      <c r="A29">
        <v>27</v>
      </c>
      <c r="B29" t="s">
        <v>113</v>
      </c>
      <c r="C29" t="s">
        <v>114</v>
      </c>
      <c r="D29" t="s">
        <v>115</v>
      </c>
      <c r="E29" t="s">
        <v>50</v>
      </c>
      <c r="F29" t="s">
        <v>34</v>
      </c>
      <c r="G29" t="s">
        <v>35</v>
      </c>
      <c r="H29">
        <v>2023</v>
      </c>
      <c r="I29">
        <v>171000</v>
      </c>
      <c r="J29" t="s">
        <v>36</v>
      </c>
      <c r="K29" s="26">
        <v>45685</v>
      </c>
      <c r="L29">
        <v>12</v>
      </c>
      <c r="M29">
        <v>3120</v>
      </c>
      <c r="N29">
        <v>0.03</v>
      </c>
      <c r="O29">
        <v>5130</v>
      </c>
      <c r="P29">
        <v>8250</v>
      </c>
      <c r="Q29" t="s">
        <v>169</v>
      </c>
      <c r="R29">
        <v>14</v>
      </c>
    </row>
    <row r="30" spans="1:18" x14ac:dyDescent="0.35">
      <c r="A30">
        <v>28</v>
      </c>
      <c r="B30" t="s">
        <v>116</v>
      </c>
      <c r="C30" t="s">
        <v>117</v>
      </c>
      <c r="D30" t="s">
        <v>118</v>
      </c>
      <c r="E30" t="s">
        <v>33</v>
      </c>
      <c r="F30" t="s">
        <v>21</v>
      </c>
      <c r="G30" t="s">
        <v>41</v>
      </c>
      <c r="H30">
        <v>2010</v>
      </c>
      <c r="I30">
        <v>174000</v>
      </c>
      <c r="J30" t="s">
        <v>23</v>
      </c>
      <c r="K30" s="26">
        <v>45658</v>
      </c>
      <c r="L30">
        <v>12</v>
      </c>
      <c r="M30">
        <v>3180</v>
      </c>
      <c r="N30">
        <v>0.05</v>
      </c>
      <c r="O30">
        <v>8700</v>
      </c>
      <c r="P30">
        <v>11880</v>
      </c>
      <c r="Q30" t="s">
        <v>169</v>
      </c>
      <c r="R30">
        <v>9</v>
      </c>
    </row>
    <row r="31" spans="1:18" x14ac:dyDescent="0.35">
      <c r="A31">
        <v>29</v>
      </c>
      <c r="B31" t="s">
        <v>119</v>
      </c>
      <c r="C31" t="s">
        <v>120</v>
      </c>
      <c r="D31" t="s">
        <v>121</v>
      </c>
      <c r="E31" t="s">
        <v>40</v>
      </c>
      <c r="F31" t="s">
        <v>27</v>
      </c>
      <c r="G31" t="s">
        <v>46</v>
      </c>
      <c r="H31">
        <v>2011</v>
      </c>
      <c r="I31">
        <v>177000</v>
      </c>
      <c r="J31" t="s">
        <v>29</v>
      </c>
      <c r="K31" s="26">
        <v>45659</v>
      </c>
      <c r="L31">
        <v>12</v>
      </c>
      <c r="M31">
        <v>3240</v>
      </c>
      <c r="N31">
        <v>0.06</v>
      </c>
      <c r="O31">
        <v>10620</v>
      </c>
      <c r="P31">
        <v>13860</v>
      </c>
      <c r="Q31" t="s">
        <v>169</v>
      </c>
      <c r="R31">
        <v>5</v>
      </c>
    </row>
    <row r="32" spans="1:18" x14ac:dyDescent="0.35">
      <c r="A32">
        <v>30</v>
      </c>
      <c r="B32" t="s">
        <v>122</v>
      </c>
      <c r="C32" t="s">
        <v>123</v>
      </c>
      <c r="D32" t="s">
        <v>124</v>
      </c>
      <c r="E32" t="s">
        <v>45</v>
      </c>
      <c r="F32" t="s">
        <v>34</v>
      </c>
      <c r="G32" t="s">
        <v>51</v>
      </c>
      <c r="H32">
        <v>2012</v>
      </c>
      <c r="I32">
        <v>180000</v>
      </c>
      <c r="J32" t="s">
        <v>36</v>
      </c>
      <c r="K32" s="26">
        <v>45660</v>
      </c>
      <c r="L32">
        <v>12</v>
      </c>
      <c r="M32">
        <v>3300</v>
      </c>
      <c r="N32">
        <v>0.03</v>
      </c>
      <c r="O32">
        <v>5400</v>
      </c>
      <c r="P32">
        <v>8700</v>
      </c>
      <c r="Q32" t="s">
        <v>169</v>
      </c>
      <c r="R32">
        <v>11</v>
      </c>
    </row>
    <row r="33" spans="1:18" x14ac:dyDescent="0.35">
      <c r="A33">
        <v>31</v>
      </c>
      <c r="B33" t="s">
        <v>125</v>
      </c>
      <c r="C33" t="s">
        <v>126</v>
      </c>
      <c r="D33" t="s">
        <v>127</v>
      </c>
      <c r="E33" t="s">
        <v>50</v>
      </c>
      <c r="F33" t="s">
        <v>21</v>
      </c>
      <c r="G33" t="s">
        <v>22</v>
      </c>
      <c r="H33">
        <v>2013</v>
      </c>
      <c r="I33">
        <v>183000</v>
      </c>
      <c r="J33" t="s">
        <v>23</v>
      </c>
      <c r="K33" s="26">
        <v>45661</v>
      </c>
      <c r="L33">
        <v>12</v>
      </c>
      <c r="M33">
        <v>3360</v>
      </c>
      <c r="N33">
        <v>0.05</v>
      </c>
      <c r="O33">
        <v>9150</v>
      </c>
      <c r="P33">
        <v>12510</v>
      </c>
      <c r="Q33" t="s">
        <v>169</v>
      </c>
      <c r="R33">
        <v>7</v>
      </c>
    </row>
    <row r="34" spans="1:18" x14ac:dyDescent="0.35">
      <c r="A34">
        <v>32</v>
      </c>
      <c r="B34" t="s">
        <v>128</v>
      </c>
      <c r="C34" t="s">
        <v>129</v>
      </c>
      <c r="D34" t="s">
        <v>130</v>
      </c>
      <c r="E34" t="s">
        <v>33</v>
      </c>
      <c r="F34" t="s">
        <v>27</v>
      </c>
      <c r="G34" t="s">
        <v>28</v>
      </c>
      <c r="H34">
        <v>2014</v>
      </c>
      <c r="I34">
        <v>186000</v>
      </c>
      <c r="J34" t="s">
        <v>29</v>
      </c>
      <c r="K34" s="26">
        <v>45662</v>
      </c>
      <c r="L34">
        <v>12</v>
      </c>
      <c r="M34">
        <v>3420</v>
      </c>
      <c r="N34">
        <v>0.06</v>
      </c>
      <c r="O34">
        <v>11160</v>
      </c>
      <c r="P34">
        <v>14580</v>
      </c>
      <c r="Q34" t="s">
        <v>169</v>
      </c>
      <c r="R34">
        <v>3</v>
      </c>
    </row>
    <row r="35" spans="1:18" x14ac:dyDescent="0.35">
      <c r="A35">
        <v>33</v>
      </c>
      <c r="B35" t="s">
        <v>131</v>
      </c>
      <c r="C35" t="s">
        <v>132</v>
      </c>
      <c r="D35" t="s">
        <v>133</v>
      </c>
      <c r="E35" t="s">
        <v>40</v>
      </c>
      <c r="F35" t="s">
        <v>34</v>
      </c>
      <c r="G35" t="s">
        <v>35</v>
      </c>
      <c r="H35">
        <v>2015</v>
      </c>
      <c r="I35">
        <v>189000</v>
      </c>
      <c r="J35" t="s">
        <v>36</v>
      </c>
      <c r="K35" s="26">
        <v>45663</v>
      </c>
      <c r="L35">
        <v>12</v>
      </c>
      <c r="M35">
        <v>3480</v>
      </c>
      <c r="N35">
        <v>0.03</v>
      </c>
      <c r="O35">
        <v>5670</v>
      </c>
      <c r="P35">
        <v>9150</v>
      </c>
      <c r="Q35" t="s">
        <v>169</v>
      </c>
      <c r="R35">
        <v>8</v>
      </c>
    </row>
    <row r="36" spans="1:18" x14ac:dyDescent="0.35">
      <c r="A36">
        <v>34</v>
      </c>
      <c r="B36" t="s">
        <v>134</v>
      </c>
      <c r="C36" t="s">
        <v>135</v>
      </c>
      <c r="D36" t="s">
        <v>136</v>
      </c>
      <c r="E36" t="s">
        <v>45</v>
      </c>
      <c r="F36" t="s">
        <v>21</v>
      </c>
      <c r="G36" t="s">
        <v>41</v>
      </c>
      <c r="H36">
        <v>2016</v>
      </c>
      <c r="I36">
        <v>192000</v>
      </c>
      <c r="J36" t="s">
        <v>23</v>
      </c>
      <c r="K36" s="26">
        <v>45664</v>
      </c>
      <c r="L36">
        <v>12</v>
      </c>
      <c r="M36">
        <v>3540</v>
      </c>
      <c r="N36">
        <v>0.05</v>
      </c>
      <c r="O36">
        <v>9600</v>
      </c>
      <c r="P36">
        <v>13140</v>
      </c>
      <c r="Q36" t="s">
        <v>169</v>
      </c>
      <c r="R36">
        <v>5</v>
      </c>
    </row>
    <row r="37" spans="1:18" x14ac:dyDescent="0.35">
      <c r="A37">
        <v>35</v>
      </c>
      <c r="B37" t="s">
        <v>137</v>
      </c>
      <c r="C37" t="s">
        <v>138</v>
      </c>
      <c r="D37" t="s">
        <v>139</v>
      </c>
      <c r="E37" t="s">
        <v>20</v>
      </c>
      <c r="F37" t="s">
        <v>27</v>
      </c>
      <c r="G37" t="s">
        <v>46</v>
      </c>
      <c r="H37">
        <v>2017</v>
      </c>
      <c r="I37">
        <v>195000</v>
      </c>
      <c r="J37" t="s">
        <v>29</v>
      </c>
      <c r="K37" s="26">
        <v>45665</v>
      </c>
      <c r="L37">
        <v>12</v>
      </c>
      <c r="M37">
        <v>3600</v>
      </c>
      <c r="N37">
        <v>0.06</v>
      </c>
      <c r="O37">
        <v>11700</v>
      </c>
      <c r="P37">
        <v>15300</v>
      </c>
      <c r="Q37" t="s">
        <v>169</v>
      </c>
      <c r="R37">
        <v>2</v>
      </c>
    </row>
    <row r="38" spans="1:18" x14ac:dyDescent="0.35">
      <c r="A38">
        <v>36</v>
      </c>
      <c r="B38" t="s">
        <v>140</v>
      </c>
      <c r="C38" t="s">
        <v>141</v>
      </c>
      <c r="D38" t="s">
        <v>142</v>
      </c>
      <c r="E38" t="s">
        <v>50</v>
      </c>
      <c r="F38" t="s">
        <v>34</v>
      </c>
      <c r="G38" t="s">
        <v>51</v>
      </c>
      <c r="H38">
        <v>2018</v>
      </c>
      <c r="I38">
        <v>198000</v>
      </c>
      <c r="J38" t="s">
        <v>36</v>
      </c>
      <c r="K38" s="26">
        <v>45666</v>
      </c>
      <c r="L38">
        <v>12</v>
      </c>
      <c r="M38">
        <v>3660</v>
      </c>
      <c r="N38">
        <v>0.03</v>
      </c>
      <c r="O38">
        <v>5940</v>
      </c>
      <c r="P38">
        <v>9600</v>
      </c>
      <c r="Q38" t="s">
        <v>169</v>
      </c>
      <c r="R38">
        <v>5</v>
      </c>
    </row>
    <row r="39" spans="1:18" x14ac:dyDescent="0.35">
      <c r="A39">
        <v>37</v>
      </c>
      <c r="B39" t="s">
        <v>143</v>
      </c>
      <c r="C39" t="s">
        <v>144</v>
      </c>
      <c r="D39" t="s">
        <v>145</v>
      </c>
      <c r="E39" t="s">
        <v>33</v>
      </c>
      <c r="F39" t="s">
        <v>21</v>
      </c>
      <c r="G39" t="s">
        <v>22</v>
      </c>
      <c r="H39">
        <v>2019</v>
      </c>
      <c r="I39">
        <v>201000</v>
      </c>
      <c r="J39" t="s">
        <v>23</v>
      </c>
      <c r="K39" s="26">
        <v>45667</v>
      </c>
      <c r="L39">
        <v>12</v>
      </c>
      <c r="M39">
        <v>3720</v>
      </c>
      <c r="N39">
        <v>0.05</v>
      </c>
      <c r="O39">
        <v>10050</v>
      </c>
      <c r="P39">
        <v>13770</v>
      </c>
      <c r="Q39" t="s">
        <v>169</v>
      </c>
      <c r="R39">
        <v>3</v>
      </c>
    </row>
    <row r="40" spans="1:18" x14ac:dyDescent="0.35">
      <c r="A40">
        <v>38</v>
      </c>
      <c r="B40" t="s">
        <v>146</v>
      </c>
      <c r="C40" t="s">
        <v>147</v>
      </c>
      <c r="D40" t="s">
        <v>148</v>
      </c>
      <c r="E40" t="s">
        <v>40</v>
      </c>
      <c r="F40" t="s">
        <v>27</v>
      </c>
      <c r="G40" t="s">
        <v>28</v>
      </c>
      <c r="H40">
        <v>2020</v>
      </c>
      <c r="I40">
        <v>204000</v>
      </c>
      <c r="J40" t="s">
        <v>29</v>
      </c>
      <c r="K40" s="26">
        <v>45668</v>
      </c>
      <c r="L40">
        <v>12</v>
      </c>
      <c r="M40">
        <v>3780</v>
      </c>
      <c r="N40">
        <v>0.06</v>
      </c>
      <c r="O40">
        <v>12240</v>
      </c>
      <c r="P40">
        <v>16020</v>
      </c>
      <c r="Q40" t="s">
        <v>169</v>
      </c>
      <c r="R40">
        <v>1</v>
      </c>
    </row>
    <row r="41" spans="1:18" x14ac:dyDescent="0.35">
      <c r="A41">
        <v>39</v>
      </c>
      <c r="B41" t="s">
        <v>149</v>
      </c>
      <c r="C41" t="s">
        <v>150</v>
      </c>
      <c r="D41" t="s">
        <v>151</v>
      </c>
      <c r="E41" t="s">
        <v>45</v>
      </c>
      <c r="F41" t="s">
        <v>34</v>
      </c>
      <c r="G41" t="s">
        <v>35</v>
      </c>
      <c r="H41">
        <v>2021</v>
      </c>
      <c r="I41">
        <v>207000</v>
      </c>
      <c r="J41" t="s">
        <v>36</v>
      </c>
      <c r="K41" s="26">
        <v>45669</v>
      </c>
      <c r="L41">
        <v>12</v>
      </c>
      <c r="M41">
        <v>3840</v>
      </c>
      <c r="N41">
        <v>0.03</v>
      </c>
      <c r="O41">
        <v>6210</v>
      </c>
      <c r="P41">
        <v>10050</v>
      </c>
      <c r="Q41" t="s">
        <v>169</v>
      </c>
      <c r="R41">
        <v>2</v>
      </c>
    </row>
    <row r="42" spans="1:18" x14ac:dyDescent="0.35">
      <c r="A42">
        <v>40</v>
      </c>
      <c r="B42" t="s">
        <v>152</v>
      </c>
      <c r="C42" t="s">
        <v>153</v>
      </c>
      <c r="D42" t="s">
        <v>154</v>
      </c>
      <c r="E42" t="s">
        <v>20</v>
      </c>
      <c r="F42" t="s">
        <v>21</v>
      </c>
      <c r="G42" t="s">
        <v>41</v>
      </c>
      <c r="H42">
        <v>2022</v>
      </c>
      <c r="I42">
        <v>210000</v>
      </c>
      <c r="J42" t="s">
        <v>23</v>
      </c>
      <c r="K42" s="26">
        <v>45670</v>
      </c>
      <c r="L42">
        <v>12</v>
      </c>
      <c r="M42">
        <v>3900</v>
      </c>
      <c r="N42">
        <v>0.05</v>
      </c>
      <c r="O42">
        <v>10500</v>
      </c>
      <c r="P42">
        <v>14400</v>
      </c>
      <c r="Q42" t="s">
        <v>169</v>
      </c>
      <c r="R4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F66-6ECA-4FEC-9E75-25ADCB019601}">
  <dimension ref="A2:I28"/>
  <sheetViews>
    <sheetView zoomScale="69" workbookViewId="0">
      <selection activeCell="M25" sqref="M25"/>
    </sheetView>
  </sheetViews>
  <sheetFormatPr baseColWidth="10" defaultRowHeight="14.5" x14ac:dyDescent="0.35"/>
  <cols>
    <col min="1" max="1" width="20.54296875" bestFit="1" customWidth="1"/>
    <col min="2" max="2" width="21.453125" bestFit="1" customWidth="1"/>
    <col min="3" max="3" width="18.36328125" bestFit="1" customWidth="1"/>
    <col min="4" max="4" width="19.54296875" bestFit="1" customWidth="1"/>
    <col min="5" max="5" width="23.08984375" bestFit="1" customWidth="1"/>
    <col min="6" max="6" width="17.36328125" bestFit="1" customWidth="1"/>
    <col min="7" max="7" width="14.6328125" bestFit="1" customWidth="1"/>
    <col min="8" max="8" width="19.54296875" bestFit="1" customWidth="1"/>
    <col min="9" max="9" width="21.453125" bestFit="1" customWidth="1"/>
  </cols>
  <sheetData>
    <row r="2" spans="1:7" x14ac:dyDescent="0.35">
      <c r="A2">
        <v>1</v>
      </c>
      <c r="D2">
        <v>3</v>
      </c>
    </row>
    <row r="3" spans="1:7" x14ac:dyDescent="0.35">
      <c r="A3" s="2" t="s">
        <v>163</v>
      </c>
      <c r="B3" t="s">
        <v>166</v>
      </c>
      <c r="D3" s="2" t="s">
        <v>163</v>
      </c>
      <c r="E3" t="s">
        <v>168</v>
      </c>
    </row>
    <row r="4" spans="1:7" x14ac:dyDescent="0.35">
      <c r="A4" s="1" t="s">
        <v>36</v>
      </c>
      <c r="B4" s="3">
        <v>95550</v>
      </c>
      <c r="D4" s="1" t="s">
        <v>27</v>
      </c>
      <c r="E4" s="3">
        <v>11700</v>
      </c>
    </row>
    <row r="5" spans="1:7" x14ac:dyDescent="0.35">
      <c r="A5" s="1" t="s">
        <v>23</v>
      </c>
      <c r="B5" s="3">
        <v>144270</v>
      </c>
      <c r="D5" s="1" t="s">
        <v>21</v>
      </c>
      <c r="E5" s="3">
        <v>10305</v>
      </c>
    </row>
    <row r="6" spans="1:7" x14ac:dyDescent="0.35">
      <c r="A6" s="1" t="s">
        <v>29</v>
      </c>
      <c r="B6" s="3">
        <v>152100</v>
      </c>
      <c r="D6" s="1" t="s">
        <v>34</v>
      </c>
      <c r="E6" s="3">
        <v>7350</v>
      </c>
    </row>
    <row r="7" spans="1:7" x14ac:dyDescent="0.35">
      <c r="A7" s="1" t="s">
        <v>164</v>
      </c>
      <c r="B7" s="3"/>
      <c r="D7" s="1" t="s">
        <v>164</v>
      </c>
      <c r="E7" s="3"/>
    </row>
    <row r="8" spans="1:7" x14ac:dyDescent="0.35">
      <c r="A8" s="1" t="s">
        <v>165</v>
      </c>
      <c r="B8" s="3">
        <v>391920</v>
      </c>
      <c r="D8" s="1" t="s">
        <v>165</v>
      </c>
      <c r="E8" s="3">
        <v>9798</v>
      </c>
    </row>
    <row r="11" spans="1:7" x14ac:dyDescent="0.35">
      <c r="B11">
        <v>2</v>
      </c>
    </row>
    <row r="12" spans="1:7" x14ac:dyDescent="0.35">
      <c r="B12" s="2" t="s">
        <v>163</v>
      </c>
      <c r="C12" t="s">
        <v>167</v>
      </c>
      <c r="E12">
        <v>4</v>
      </c>
    </row>
    <row r="13" spans="1:7" x14ac:dyDescent="0.35">
      <c r="B13" s="1" t="s">
        <v>50</v>
      </c>
      <c r="C13" s="3">
        <v>8</v>
      </c>
      <c r="E13" s="2" t="s">
        <v>163</v>
      </c>
      <c r="F13" t="s">
        <v>172</v>
      </c>
      <c r="G13" t="s">
        <v>171</v>
      </c>
    </row>
    <row r="14" spans="1:7" x14ac:dyDescent="0.35">
      <c r="B14" s="1" t="s">
        <v>45</v>
      </c>
      <c r="C14" s="3">
        <v>8</v>
      </c>
      <c r="E14" s="1" t="s">
        <v>170</v>
      </c>
      <c r="F14" s="3">
        <v>1</v>
      </c>
      <c r="G14" s="3">
        <v>1</v>
      </c>
    </row>
    <row r="15" spans="1:7" x14ac:dyDescent="0.35">
      <c r="B15" s="1" t="s">
        <v>58</v>
      </c>
      <c r="C15" s="3">
        <v>1</v>
      </c>
      <c r="E15" s="1" t="s">
        <v>169</v>
      </c>
      <c r="F15" s="3">
        <v>39</v>
      </c>
      <c r="G15" s="3">
        <v>39</v>
      </c>
    </row>
    <row r="16" spans="1:7" x14ac:dyDescent="0.35">
      <c r="B16" s="1" t="s">
        <v>33</v>
      </c>
      <c r="C16" s="3">
        <v>8</v>
      </c>
      <c r="E16" s="1" t="s">
        <v>164</v>
      </c>
      <c r="F16" s="3"/>
      <c r="G16" s="3"/>
    </row>
    <row r="17" spans="2:9" x14ac:dyDescent="0.35">
      <c r="B17" s="1" t="s">
        <v>20</v>
      </c>
      <c r="C17" s="3">
        <v>7</v>
      </c>
      <c r="E17" s="1" t="s">
        <v>165</v>
      </c>
      <c r="F17" s="3">
        <v>40</v>
      </c>
      <c r="G17" s="3">
        <v>40</v>
      </c>
    </row>
    <row r="18" spans="2:9" x14ac:dyDescent="0.35">
      <c r="B18" s="1" t="s">
        <v>40</v>
      </c>
      <c r="C18" s="3">
        <v>8</v>
      </c>
    </row>
    <row r="19" spans="2:9" x14ac:dyDescent="0.35">
      <c r="B19" s="1" t="s">
        <v>164</v>
      </c>
      <c r="C19" s="3"/>
    </row>
    <row r="20" spans="2:9" x14ac:dyDescent="0.35">
      <c r="B20" s="1" t="s">
        <v>165</v>
      </c>
      <c r="C20" s="3">
        <v>40</v>
      </c>
      <c r="H20">
        <v>5</v>
      </c>
    </row>
    <row r="21" spans="2:9" x14ac:dyDescent="0.35">
      <c r="E21">
        <v>6</v>
      </c>
      <c r="H21" s="2" t="s">
        <v>163</v>
      </c>
      <c r="I21" t="s">
        <v>166</v>
      </c>
    </row>
    <row r="22" spans="2:9" x14ac:dyDescent="0.35">
      <c r="E22" s="2" t="s">
        <v>163</v>
      </c>
      <c r="F22" t="s">
        <v>166</v>
      </c>
      <c r="H22" s="1" t="s">
        <v>164</v>
      </c>
      <c r="I22" s="3"/>
    </row>
    <row r="23" spans="2:9" x14ac:dyDescent="0.35">
      <c r="E23" s="1" t="s">
        <v>152</v>
      </c>
      <c r="F23" s="3">
        <v>14400</v>
      </c>
      <c r="H23" s="1" t="s">
        <v>173</v>
      </c>
      <c r="I23" s="3">
        <v>391920</v>
      </c>
    </row>
    <row r="24" spans="2:9" x14ac:dyDescent="0.35">
      <c r="E24" s="1" t="s">
        <v>128</v>
      </c>
      <c r="F24" s="3">
        <v>14580</v>
      </c>
      <c r="H24" s="1" t="s">
        <v>165</v>
      </c>
      <c r="I24" s="3">
        <v>391920</v>
      </c>
    </row>
    <row r="25" spans="2:9" x14ac:dyDescent="0.35">
      <c r="E25" s="1" t="s">
        <v>146</v>
      </c>
      <c r="F25" s="3">
        <v>16020</v>
      </c>
    </row>
    <row r="26" spans="2:9" x14ac:dyDescent="0.35">
      <c r="E26" s="1" t="s">
        <v>119</v>
      </c>
      <c r="F26" s="3">
        <v>13860</v>
      </c>
    </row>
    <row r="27" spans="2:9" x14ac:dyDescent="0.35">
      <c r="E27" s="1" t="s">
        <v>137</v>
      </c>
      <c r="F27" s="3">
        <v>15300</v>
      </c>
    </row>
    <row r="28" spans="2:9" x14ac:dyDescent="0.35">
      <c r="E28" s="1" t="s">
        <v>165</v>
      </c>
      <c r="F28" s="3">
        <v>74160</v>
      </c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opLeftCell="A5" zoomScale="55" zoomScaleNormal="85" workbookViewId="0">
      <selection activeCell="V1" sqref="A1:V41"/>
    </sheetView>
  </sheetViews>
  <sheetFormatPr baseColWidth="10" defaultColWidth="8.90625" defaultRowHeight="14.5" x14ac:dyDescent="0.35"/>
  <cols>
    <col min="1" max="1" width="8.453125" bestFit="1" customWidth="1"/>
    <col min="2" max="2" width="11.6328125" style="1" bestFit="1" customWidth="1"/>
    <col min="3" max="3" width="10.08984375" style="1" bestFit="1" customWidth="1"/>
    <col min="4" max="4" width="8.1796875" style="1" bestFit="1" customWidth="1"/>
    <col min="5" max="5" width="10.1796875" style="1" bestFit="1" customWidth="1"/>
    <col min="6" max="6" width="12.81640625" style="1" bestFit="1" customWidth="1"/>
    <col min="7" max="7" width="7.6328125" style="1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bestFit="1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1.90625" bestFit="1" customWidth="1"/>
    <col min="17" max="17" width="11.54296875" bestFit="1" customWidth="1"/>
    <col min="18" max="18" width="12.1796875" customWidth="1"/>
    <col min="19" max="19" width="13.7265625" customWidth="1"/>
    <col min="20" max="20" width="15.1796875" customWidth="1"/>
    <col min="21" max="21" width="29.36328125" customWidth="1"/>
    <col min="22" max="22" width="21.453125" customWidth="1"/>
  </cols>
  <sheetData>
    <row r="1" spans="1:22" s="17" customFormat="1" ht="26.5" customHeigh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157</v>
      </c>
      <c r="S1" s="16" t="s">
        <v>155</v>
      </c>
      <c r="T1" s="16" t="s">
        <v>156</v>
      </c>
      <c r="U1" s="16" t="s">
        <v>158</v>
      </c>
      <c r="V1" s="16" t="s">
        <v>159</v>
      </c>
    </row>
    <row r="2" spans="1:22" x14ac:dyDescent="0.35">
      <c r="A2" s="18">
        <v>1</v>
      </c>
      <c r="B2" s="19" t="s">
        <v>17</v>
      </c>
      <c r="C2" s="19" t="s">
        <v>18</v>
      </c>
      <c r="D2" s="19" t="s">
        <v>19</v>
      </c>
      <c r="E2" s="19" t="s">
        <v>20</v>
      </c>
      <c r="F2" s="19" t="s">
        <v>21</v>
      </c>
      <c r="G2" s="19" t="s">
        <v>22</v>
      </c>
      <c r="H2" s="20">
        <v>2011</v>
      </c>
      <c r="I2" s="20">
        <v>93000</v>
      </c>
      <c r="J2" s="20" t="s">
        <v>23</v>
      </c>
      <c r="K2" s="21">
        <v>45659</v>
      </c>
      <c r="L2" s="20">
        <v>12</v>
      </c>
      <c r="M2" s="20">
        <v>1560</v>
      </c>
      <c r="N2" s="22">
        <f>IF(F2="Moto",5%,IF(F2="Voiture",3%,6%))</f>
        <v>0.05</v>
      </c>
      <c r="O2" s="20">
        <f>I2*N2</f>
        <v>4650</v>
      </c>
      <c r="P2" s="20">
        <f>M2+O2</f>
        <v>6210</v>
      </c>
      <c r="Q2" s="20" t="str">
        <f>IF(P2&lt;2000,"Standard",IF(P2&lt;5000,"Premium","VIP"))</f>
        <v>VIP</v>
      </c>
      <c r="R2" s="20">
        <f>RANK(P2,P2:P41,0)</f>
        <v>36</v>
      </c>
      <c r="S2" s="18">
        <f>COUNTIF(J:J,"Tous Risques")</f>
        <v>13</v>
      </c>
      <c r="T2" s="18">
        <f>COUNTIF(F:F,"Voiture")</f>
        <v>13</v>
      </c>
      <c r="U2" s="18">
        <f>SUMIF(E:E,"Ouarzazate",P:P)</f>
        <v>72060</v>
      </c>
      <c r="V2" s="18">
        <f>SUMIF(F:F,"Camion",P:P)</f>
        <v>152100</v>
      </c>
    </row>
    <row r="3" spans="1:22" x14ac:dyDescent="0.35">
      <c r="A3" s="18">
        <v>2</v>
      </c>
      <c r="B3" s="19" t="s">
        <v>24</v>
      </c>
      <c r="C3" s="19" t="s">
        <v>25</v>
      </c>
      <c r="D3" s="19" t="s">
        <v>26</v>
      </c>
      <c r="E3" s="19" t="s">
        <v>20</v>
      </c>
      <c r="F3" s="19" t="s">
        <v>27</v>
      </c>
      <c r="G3" s="19" t="s">
        <v>28</v>
      </c>
      <c r="H3" s="20">
        <v>2012</v>
      </c>
      <c r="I3" s="20">
        <v>96000</v>
      </c>
      <c r="J3" s="20" t="s">
        <v>29</v>
      </c>
      <c r="K3" s="21">
        <v>45660</v>
      </c>
      <c r="L3" s="20">
        <v>12</v>
      </c>
      <c r="M3" s="20">
        <v>1620</v>
      </c>
      <c r="N3" s="22">
        <f t="shared" ref="N3:N41" si="0">IF(F3="Moto",5%,IF(F3="Voiture",3%,6%))</f>
        <v>0.06</v>
      </c>
      <c r="O3" s="20">
        <f t="shared" ref="O3:O41" si="1">I3*N3</f>
        <v>5760</v>
      </c>
      <c r="P3" s="20">
        <f t="shared" ref="P3:P41" si="2">M3+O3</f>
        <v>7380</v>
      </c>
      <c r="Q3" s="20" t="str">
        <f t="shared" ref="Q3:Q41" si="3">IF(P3&lt;2000,"Standard",IF(P3&lt;5000,"Premium","VIP"))</f>
        <v>VIP</v>
      </c>
      <c r="R3" s="23">
        <f t="shared" ref="R3:R41" si="4">RANK(P3,P3:P42,0)</f>
        <v>31</v>
      </c>
    </row>
    <row r="4" spans="1:22" x14ac:dyDescent="0.35">
      <c r="A4" s="18">
        <v>3</v>
      </c>
      <c r="B4" s="19" t="s">
        <v>30</v>
      </c>
      <c r="C4" s="19" t="s">
        <v>31</v>
      </c>
      <c r="D4" s="19" t="s">
        <v>32</v>
      </c>
      <c r="E4" s="19" t="s">
        <v>33</v>
      </c>
      <c r="F4" s="19" t="s">
        <v>34</v>
      </c>
      <c r="G4" s="19" t="s">
        <v>35</v>
      </c>
      <c r="H4" s="20">
        <v>2013</v>
      </c>
      <c r="I4" s="20">
        <v>99000</v>
      </c>
      <c r="J4" s="20" t="s">
        <v>36</v>
      </c>
      <c r="K4" s="21">
        <v>45661</v>
      </c>
      <c r="L4" s="20">
        <v>12</v>
      </c>
      <c r="M4" s="20">
        <v>1680</v>
      </c>
      <c r="N4" s="22">
        <f t="shared" si="0"/>
        <v>0.03</v>
      </c>
      <c r="O4" s="20">
        <f t="shared" si="1"/>
        <v>2970</v>
      </c>
      <c r="P4" s="20">
        <f t="shared" si="2"/>
        <v>4650</v>
      </c>
      <c r="Q4" s="20" t="str">
        <f t="shared" si="3"/>
        <v>Premium</v>
      </c>
      <c r="R4" s="23">
        <f t="shared" si="4"/>
        <v>38</v>
      </c>
    </row>
    <row r="5" spans="1:22" x14ac:dyDescent="0.35">
      <c r="A5" s="18">
        <v>4</v>
      </c>
      <c r="B5" s="19" t="s">
        <v>37</v>
      </c>
      <c r="C5" s="19" t="s">
        <v>38</v>
      </c>
      <c r="D5" s="19" t="s">
        <v>39</v>
      </c>
      <c r="E5" s="19" t="s">
        <v>40</v>
      </c>
      <c r="F5" s="19" t="s">
        <v>21</v>
      </c>
      <c r="G5" s="19" t="s">
        <v>41</v>
      </c>
      <c r="H5" s="20">
        <v>2014</v>
      </c>
      <c r="I5" s="20">
        <v>102000</v>
      </c>
      <c r="J5" s="20" t="s">
        <v>23</v>
      </c>
      <c r="K5" s="21">
        <v>45662</v>
      </c>
      <c r="L5" s="20">
        <v>12</v>
      </c>
      <c r="M5" s="20">
        <v>1740</v>
      </c>
      <c r="N5" s="22">
        <f t="shared" si="0"/>
        <v>0.05</v>
      </c>
      <c r="O5" s="20">
        <f t="shared" si="1"/>
        <v>5100</v>
      </c>
      <c r="P5" s="20">
        <f t="shared" si="2"/>
        <v>6840</v>
      </c>
      <c r="Q5" s="20" t="str">
        <f t="shared" si="3"/>
        <v>VIP</v>
      </c>
      <c r="R5" s="23">
        <f t="shared" si="4"/>
        <v>33</v>
      </c>
    </row>
    <row r="6" spans="1:22" x14ac:dyDescent="0.35">
      <c r="A6" s="18">
        <v>5</v>
      </c>
      <c r="B6" s="19" t="s">
        <v>42</v>
      </c>
      <c r="C6" s="19" t="s">
        <v>43</v>
      </c>
      <c r="D6" s="19" t="s">
        <v>44</v>
      </c>
      <c r="E6" s="19" t="s">
        <v>45</v>
      </c>
      <c r="F6" s="19" t="s">
        <v>27</v>
      </c>
      <c r="G6" s="19" t="s">
        <v>46</v>
      </c>
      <c r="H6" s="20">
        <v>2015</v>
      </c>
      <c r="I6" s="20">
        <v>105000</v>
      </c>
      <c r="J6" s="20" t="s">
        <v>29</v>
      </c>
      <c r="K6" s="21">
        <v>45663</v>
      </c>
      <c r="L6" s="20">
        <v>12</v>
      </c>
      <c r="M6" s="20">
        <v>1800</v>
      </c>
      <c r="N6" s="22">
        <f t="shared" si="0"/>
        <v>0.06</v>
      </c>
      <c r="O6" s="20">
        <f t="shared" si="1"/>
        <v>6300</v>
      </c>
      <c r="P6" s="20">
        <f t="shared" si="2"/>
        <v>8100</v>
      </c>
      <c r="Q6" s="20" t="str">
        <f t="shared" si="3"/>
        <v>VIP</v>
      </c>
      <c r="R6" s="23">
        <f t="shared" si="4"/>
        <v>27</v>
      </c>
    </row>
    <row r="7" spans="1:22" x14ac:dyDescent="0.35">
      <c r="A7" s="18">
        <v>6</v>
      </c>
      <c r="B7" s="19" t="s">
        <v>47</v>
      </c>
      <c r="C7" s="19" t="s">
        <v>48</v>
      </c>
      <c r="D7" s="19" t="s">
        <v>49</v>
      </c>
      <c r="E7" s="19" t="s">
        <v>50</v>
      </c>
      <c r="F7" s="19" t="s">
        <v>34</v>
      </c>
      <c r="G7" s="19" t="s">
        <v>51</v>
      </c>
      <c r="H7" s="20">
        <v>2016</v>
      </c>
      <c r="I7" s="20">
        <v>108000</v>
      </c>
      <c r="J7" s="20" t="s">
        <v>36</v>
      </c>
      <c r="K7" s="21">
        <v>45664</v>
      </c>
      <c r="L7" s="20">
        <v>12</v>
      </c>
      <c r="M7" s="20">
        <v>1860</v>
      </c>
      <c r="N7" s="22">
        <f t="shared" si="0"/>
        <v>0.03</v>
      </c>
      <c r="O7" s="20">
        <f t="shared" si="1"/>
        <v>3240</v>
      </c>
      <c r="P7" s="20">
        <f t="shared" si="2"/>
        <v>5100</v>
      </c>
      <c r="Q7" s="20" t="str">
        <f t="shared" si="3"/>
        <v>VIP</v>
      </c>
      <c r="R7" s="23">
        <f t="shared" si="4"/>
        <v>35</v>
      </c>
    </row>
    <row r="8" spans="1:22" x14ac:dyDescent="0.35">
      <c r="A8" s="18">
        <v>7</v>
      </c>
      <c r="B8" s="19" t="s">
        <v>52</v>
      </c>
      <c r="C8" s="19" t="s">
        <v>53</v>
      </c>
      <c r="D8" s="19" t="s">
        <v>54</v>
      </c>
      <c r="E8" s="19" t="s">
        <v>33</v>
      </c>
      <c r="F8" s="19" t="s">
        <v>21</v>
      </c>
      <c r="G8" s="19" t="s">
        <v>22</v>
      </c>
      <c r="H8" s="20">
        <v>2017</v>
      </c>
      <c r="I8" s="20">
        <v>111000</v>
      </c>
      <c r="J8" s="20" t="s">
        <v>23</v>
      </c>
      <c r="K8" s="21">
        <v>45665</v>
      </c>
      <c r="L8" s="20">
        <v>12</v>
      </c>
      <c r="M8" s="20">
        <v>1920</v>
      </c>
      <c r="N8" s="22">
        <f t="shared" si="0"/>
        <v>0.05</v>
      </c>
      <c r="O8" s="20">
        <f t="shared" si="1"/>
        <v>5550</v>
      </c>
      <c r="P8" s="20">
        <f t="shared" si="2"/>
        <v>7470</v>
      </c>
      <c r="Q8" s="20" t="str">
        <f t="shared" si="3"/>
        <v>VIP</v>
      </c>
      <c r="R8" s="23">
        <f t="shared" si="4"/>
        <v>29</v>
      </c>
    </row>
    <row r="9" spans="1:22" x14ac:dyDescent="0.35">
      <c r="A9" s="18">
        <v>8</v>
      </c>
      <c r="B9" s="19" t="s">
        <v>55</v>
      </c>
      <c r="C9" s="19" t="s">
        <v>56</v>
      </c>
      <c r="D9" s="19" t="s">
        <v>57</v>
      </c>
      <c r="E9" s="19" t="s">
        <v>58</v>
      </c>
      <c r="F9" s="19" t="s">
        <v>27</v>
      </c>
      <c r="G9" s="19" t="s">
        <v>28</v>
      </c>
      <c r="H9" s="20">
        <v>2018</v>
      </c>
      <c r="I9" s="20">
        <v>114000</v>
      </c>
      <c r="J9" s="20" t="s">
        <v>29</v>
      </c>
      <c r="K9" s="21">
        <v>45666</v>
      </c>
      <c r="L9" s="20">
        <v>12</v>
      </c>
      <c r="M9" s="20">
        <v>1980</v>
      </c>
      <c r="N9" s="22">
        <f t="shared" si="0"/>
        <v>0.06</v>
      </c>
      <c r="O9" s="20">
        <f t="shared" si="1"/>
        <v>6840</v>
      </c>
      <c r="P9" s="20">
        <f t="shared" si="2"/>
        <v>8820</v>
      </c>
      <c r="Q9" s="20" t="str">
        <f t="shared" si="3"/>
        <v>VIP</v>
      </c>
      <c r="R9" s="23">
        <f t="shared" si="4"/>
        <v>23</v>
      </c>
    </row>
    <row r="10" spans="1:22" x14ac:dyDescent="0.35">
      <c r="A10" s="18">
        <v>9</v>
      </c>
      <c r="B10" s="19" t="s">
        <v>59</v>
      </c>
      <c r="C10" s="19" t="s">
        <v>60</v>
      </c>
      <c r="D10" s="19" t="s">
        <v>61</v>
      </c>
      <c r="E10" s="19" t="s">
        <v>40</v>
      </c>
      <c r="F10" s="19" t="s">
        <v>34</v>
      </c>
      <c r="G10" s="19" t="s">
        <v>35</v>
      </c>
      <c r="H10" s="20">
        <v>2019</v>
      </c>
      <c r="I10" s="20">
        <v>117000</v>
      </c>
      <c r="J10" s="20" t="s">
        <v>36</v>
      </c>
      <c r="K10" s="21">
        <v>45667</v>
      </c>
      <c r="L10" s="20">
        <v>12</v>
      </c>
      <c r="M10" s="20">
        <v>2040</v>
      </c>
      <c r="N10" s="22">
        <f t="shared" si="0"/>
        <v>0.03</v>
      </c>
      <c r="O10" s="20">
        <f t="shared" si="1"/>
        <v>3510</v>
      </c>
      <c r="P10" s="20">
        <f t="shared" si="2"/>
        <v>5550</v>
      </c>
      <c r="Q10" s="20" t="str">
        <f t="shared" si="3"/>
        <v>VIP</v>
      </c>
      <c r="R10" s="23">
        <f t="shared" si="4"/>
        <v>32</v>
      </c>
      <c r="T10" s="24" t="s">
        <v>160</v>
      </c>
      <c r="U10" s="25">
        <v>3</v>
      </c>
    </row>
    <row r="11" spans="1:22" x14ac:dyDescent="0.35">
      <c r="A11" s="18">
        <v>10</v>
      </c>
      <c r="B11" s="19" t="s">
        <v>62</v>
      </c>
      <c r="C11" s="19" t="s">
        <v>63</v>
      </c>
      <c r="D11" s="19" t="s">
        <v>64</v>
      </c>
      <c r="E11" s="19" t="s">
        <v>50</v>
      </c>
      <c r="F11" s="19" t="s">
        <v>21</v>
      </c>
      <c r="G11" s="19" t="s">
        <v>41</v>
      </c>
      <c r="H11" s="20">
        <v>2020</v>
      </c>
      <c r="I11" s="20">
        <v>120000</v>
      </c>
      <c r="J11" s="20" t="s">
        <v>23</v>
      </c>
      <c r="K11" s="21">
        <v>45668</v>
      </c>
      <c r="L11" s="20">
        <v>12</v>
      </c>
      <c r="M11" s="20">
        <v>2100</v>
      </c>
      <c r="N11" s="22">
        <f t="shared" si="0"/>
        <v>0.05</v>
      </c>
      <c r="O11" s="20">
        <f t="shared" si="1"/>
        <v>6000</v>
      </c>
      <c r="P11" s="20">
        <f t="shared" si="2"/>
        <v>8100</v>
      </c>
      <c r="Q11" s="20" t="str">
        <f t="shared" si="3"/>
        <v>VIP</v>
      </c>
      <c r="R11" s="23">
        <f t="shared" si="4"/>
        <v>26</v>
      </c>
      <c r="T11" s="24" t="s">
        <v>161</v>
      </c>
      <c r="U11" s="25" t="str">
        <f>INDEX(B:B,MATCH(U10,A:A,0))</f>
        <v>Benali</v>
      </c>
    </row>
    <row r="12" spans="1:22" x14ac:dyDescent="0.35">
      <c r="A12" s="18">
        <v>11</v>
      </c>
      <c r="B12" s="19" t="s">
        <v>65</v>
      </c>
      <c r="C12" s="19" t="s">
        <v>66</v>
      </c>
      <c r="D12" s="19" t="s">
        <v>67</v>
      </c>
      <c r="E12" s="19" t="s">
        <v>45</v>
      </c>
      <c r="F12" s="19" t="s">
        <v>27</v>
      </c>
      <c r="G12" s="19" t="s">
        <v>46</v>
      </c>
      <c r="H12" s="20">
        <v>2021</v>
      </c>
      <c r="I12" s="20">
        <v>123000</v>
      </c>
      <c r="J12" s="20" t="s">
        <v>29</v>
      </c>
      <c r="K12" s="21">
        <v>45669</v>
      </c>
      <c r="L12" s="20">
        <v>12</v>
      </c>
      <c r="M12" s="20">
        <v>2160</v>
      </c>
      <c r="N12" s="22">
        <f t="shared" si="0"/>
        <v>0.06</v>
      </c>
      <c r="O12" s="20">
        <f t="shared" si="1"/>
        <v>7380</v>
      </c>
      <c r="P12" s="20">
        <f t="shared" si="2"/>
        <v>9540</v>
      </c>
      <c r="Q12" s="20" t="str">
        <f t="shared" si="3"/>
        <v>VIP</v>
      </c>
      <c r="R12" s="23">
        <f t="shared" si="4"/>
        <v>20</v>
      </c>
      <c r="T12" s="24" t="s">
        <v>162</v>
      </c>
      <c r="U12" s="25">
        <f>INDEX(P:P,MATCH(U10,A:A,0))</f>
        <v>4650</v>
      </c>
    </row>
    <row r="13" spans="1:22" x14ac:dyDescent="0.35">
      <c r="A13" s="18">
        <v>12</v>
      </c>
      <c r="B13" s="19" t="s">
        <v>68</v>
      </c>
      <c r="C13" s="19" t="s">
        <v>69</v>
      </c>
      <c r="D13" s="19" t="s">
        <v>70</v>
      </c>
      <c r="E13" s="19" t="s">
        <v>33</v>
      </c>
      <c r="F13" s="19" t="s">
        <v>34</v>
      </c>
      <c r="G13" s="19" t="s">
        <v>51</v>
      </c>
      <c r="H13" s="20">
        <v>2022</v>
      </c>
      <c r="I13" s="20">
        <v>126000</v>
      </c>
      <c r="J13" s="20" t="s">
        <v>36</v>
      </c>
      <c r="K13" s="21">
        <v>45670</v>
      </c>
      <c r="L13" s="20">
        <v>12</v>
      </c>
      <c r="M13" s="20">
        <v>2220</v>
      </c>
      <c r="N13" s="22">
        <f t="shared" si="0"/>
        <v>0.03</v>
      </c>
      <c r="O13" s="20">
        <f t="shared" si="1"/>
        <v>3780</v>
      </c>
      <c r="P13" s="20">
        <f t="shared" si="2"/>
        <v>6000</v>
      </c>
      <c r="Q13" s="20" t="str">
        <f t="shared" si="3"/>
        <v>VIP</v>
      </c>
      <c r="R13" s="23">
        <f t="shared" si="4"/>
        <v>29</v>
      </c>
    </row>
    <row r="14" spans="1:22" x14ac:dyDescent="0.35">
      <c r="A14" s="18">
        <v>13</v>
      </c>
      <c r="B14" s="19" t="s">
        <v>71</v>
      </c>
      <c r="C14" s="19" t="s">
        <v>72</v>
      </c>
      <c r="D14" s="19" t="s">
        <v>73</v>
      </c>
      <c r="E14" s="19" t="s">
        <v>20</v>
      </c>
      <c r="F14" s="19" t="s">
        <v>21</v>
      </c>
      <c r="G14" s="19" t="s">
        <v>22</v>
      </c>
      <c r="H14" s="20">
        <v>2023</v>
      </c>
      <c r="I14" s="20">
        <v>129000</v>
      </c>
      <c r="J14" s="20" t="s">
        <v>23</v>
      </c>
      <c r="K14" s="21">
        <v>45671</v>
      </c>
      <c r="L14" s="20">
        <v>12</v>
      </c>
      <c r="M14" s="20">
        <v>2280</v>
      </c>
      <c r="N14" s="22">
        <f t="shared" si="0"/>
        <v>0.05</v>
      </c>
      <c r="O14" s="20">
        <f t="shared" si="1"/>
        <v>6450</v>
      </c>
      <c r="P14" s="20">
        <f t="shared" si="2"/>
        <v>8730</v>
      </c>
      <c r="Q14" s="20" t="str">
        <f t="shared" si="3"/>
        <v>VIP</v>
      </c>
      <c r="R14" s="23">
        <f t="shared" si="4"/>
        <v>22</v>
      </c>
    </row>
    <row r="15" spans="1:22" x14ac:dyDescent="0.35">
      <c r="A15" s="18">
        <v>14</v>
      </c>
      <c r="B15" s="19" t="s">
        <v>74</v>
      </c>
      <c r="C15" s="19" t="s">
        <v>75</v>
      </c>
      <c r="D15" s="19" t="s">
        <v>76</v>
      </c>
      <c r="E15" s="19" t="s">
        <v>50</v>
      </c>
      <c r="F15" s="19" t="s">
        <v>27</v>
      </c>
      <c r="G15" s="19" t="s">
        <v>28</v>
      </c>
      <c r="H15" s="20">
        <v>2010</v>
      </c>
      <c r="I15" s="20">
        <v>132000</v>
      </c>
      <c r="J15" s="20" t="s">
        <v>29</v>
      </c>
      <c r="K15" s="21">
        <v>45672</v>
      </c>
      <c r="L15" s="20">
        <v>12</v>
      </c>
      <c r="M15" s="20">
        <v>2340</v>
      </c>
      <c r="N15" s="22">
        <f t="shared" si="0"/>
        <v>0.06</v>
      </c>
      <c r="O15" s="20">
        <f t="shared" si="1"/>
        <v>7920</v>
      </c>
      <c r="P15" s="20">
        <f t="shared" si="2"/>
        <v>10260</v>
      </c>
      <c r="Q15" s="20" t="str">
        <f t="shared" si="3"/>
        <v>VIP</v>
      </c>
      <c r="R15" s="23">
        <f t="shared" si="4"/>
        <v>16</v>
      </c>
    </row>
    <row r="16" spans="1:22" x14ac:dyDescent="0.35">
      <c r="A16" s="18">
        <v>15</v>
      </c>
      <c r="B16" s="19" t="s">
        <v>77</v>
      </c>
      <c r="C16" s="19" t="s">
        <v>78</v>
      </c>
      <c r="D16" s="19" t="s">
        <v>79</v>
      </c>
      <c r="E16" s="19" t="s">
        <v>45</v>
      </c>
      <c r="F16" s="19" t="s">
        <v>34</v>
      </c>
      <c r="G16" s="19" t="s">
        <v>35</v>
      </c>
      <c r="H16" s="20">
        <v>2011</v>
      </c>
      <c r="I16" s="20">
        <v>135000</v>
      </c>
      <c r="J16" s="20" t="s">
        <v>36</v>
      </c>
      <c r="K16" s="21">
        <v>45673</v>
      </c>
      <c r="L16" s="20">
        <v>12</v>
      </c>
      <c r="M16" s="20">
        <v>2400</v>
      </c>
      <c r="N16" s="22">
        <f t="shared" si="0"/>
        <v>0.03</v>
      </c>
      <c r="O16" s="20">
        <f t="shared" si="1"/>
        <v>4050</v>
      </c>
      <c r="P16" s="20">
        <f t="shared" si="2"/>
        <v>6450</v>
      </c>
      <c r="Q16" s="20" t="str">
        <f t="shared" si="3"/>
        <v>VIP</v>
      </c>
      <c r="R16" s="23">
        <f t="shared" si="4"/>
        <v>26</v>
      </c>
    </row>
    <row r="17" spans="1:18" x14ac:dyDescent="0.35">
      <c r="A17" s="18">
        <v>16</v>
      </c>
      <c r="B17" s="19" t="s">
        <v>80</v>
      </c>
      <c r="C17" s="19" t="s">
        <v>81</v>
      </c>
      <c r="D17" s="19" t="s">
        <v>82</v>
      </c>
      <c r="E17" s="19" t="s">
        <v>40</v>
      </c>
      <c r="F17" s="19" t="s">
        <v>21</v>
      </c>
      <c r="G17" s="19" t="s">
        <v>41</v>
      </c>
      <c r="H17" s="20">
        <v>2012</v>
      </c>
      <c r="I17" s="20">
        <v>138000</v>
      </c>
      <c r="J17" s="20" t="s">
        <v>23</v>
      </c>
      <c r="K17" s="21">
        <v>45674</v>
      </c>
      <c r="L17" s="20">
        <v>12</v>
      </c>
      <c r="M17" s="20">
        <v>2460</v>
      </c>
      <c r="N17" s="22">
        <f t="shared" si="0"/>
        <v>0.05</v>
      </c>
      <c r="O17" s="20">
        <f t="shared" si="1"/>
        <v>6900</v>
      </c>
      <c r="P17" s="20">
        <f t="shared" si="2"/>
        <v>9360</v>
      </c>
      <c r="Q17" s="20" t="str">
        <f t="shared" si="3"/>
        <v>VIP</v>
      </c>
      <c r="R17" s="23">
        <f t="shared" si="4"/>
        <v>19</v>
      </c>
    </row>
    <row r="18" spans="1:18" x14ac:dyDescent="0.35">
      <c r="A18" s="18">
        <v>17</v>
      </c>
      <c r="B18" s="19" t="s">
        <v>83</v>
      </c>
      <c r="C18" s="19" t="s">
        <v>84</v>
      </c>
      <c r="D18" s="19" t="s">
        <v>85</v>
      </c>
      <c r="E18" s="19" t="s">
        <v>33</v>
      </c>
      <c r="F18" s="19" t="s">
        <v>27</v>
      </c>
      <c r="G18" s="19" t="s">
        <v>46</v>
      </c>
      <c r="H18" s="20">
        <v>2013</v>
      </c>
      <c r="I18" s="20">
        <v>141000</v>
      </c>
      <c r="J18" s="20" t="s">
        <v>29</v>
      </c>
      <c r="K18" s="21">
        <v>45675</v>
      </c>
      <c r="L18" s="20">
        <v>12</v>
      </c>
      <c r="M18" s="20">
        <v>2520</v>
      </c>
      <c r="N18" s="22">
        <f t="shared" si="0"/>
        <v>0.06</v>
      </c>
      <c r="O18" s="20">
        <f t="shared" si="1"/>
        <v>8460</v>
      </c>
      <c r="P18" s="20">
        <f t="shared" si="2"/>
        <v>10980</v>
      </c>
      <c r="Q18" s="20" t="str">
        <f t="shared" si="3"/>
        <v>VIP</v>
      </c>
      <c r="R18" s="23">
        <f t="shared" si="4"/>
        <v>14</v>
      </c>
    </row>
    <row r="19" spans="1:18" x14ac:dyDescent="0.35">
      <c r="A19" s="18">
        <v>18</v>
      </c>
      <c r="B19" s="19" t="s">
        <v>86</v>
      </c>
      <c r="C19" s="19" t="s">
        <v>87</v>
      </c>
      <c r="D19" s="19" t="s">
        <v>88</v>
      </c>
      <c r="E19" s="19" t="s">
        <v>20</v>
      </c>
      <c r="F19" s="19" t="s">
        <v>34</v>
      </c>
      <c r="G19" s="19" t="s">
        <v>51</v>
      </c>
      <c r="H19" s="20">
        <v>2014</v>
      </c>
      <c r="I19" s="20">
        <v>144000</v>
      </c>
      <c r="J19" s="20" t="s">
        <v>36</v>
      </c>
      <c r="K19" s="21">
        <v>45676</v>
      </c>
      <c r="L19" s="20">
        <v>12</v>
      </c>
      <c r="M19" s="20">
        <v>2580</v>
      </c>
      <c r="N19" s="22">
        <f t="shared" si="0"/>
        <v>0.03</v>
      </c>
      <c r="O19" s="20">
        <f t="shared" si="1"/>
        <v>4320</v>
      </c>
      <c r="P19" s="20">
        <f t="shared" si="2"/>
        <v>6900</v>
      </c>
      <c r="Q19" s="20" t="str">
        <f t="shared" si="3"/>
        <v>VIP</v>
      </c>
      <c r="R19" s="23">
        <f t="shared" si="4"/>
        <v>23</v>
      </c>
    </row>
    <row r="20" spans="1:18" x14ac:dyDescent="0.35">
      <c r="A20" s="18">
        <v>19</v>
      </c>
      <c r="B20" s="19" t="s">
        <v>89</v>
      </c>
      <c r="C20" s="19" t="s">
        <v>90</v>
      </c>
      <c r="D20" s="19" t="s">
        <v>91</v>
      </c>
      <c r="E20" s="19" t="s">
        <v>50</v>
      </c>
      <c r="F20" s="19" t="s">
        <v>21</v>
      </c>
      <c r="G20" s="19" t="s">
        <v>22</v>
      </c>
      <c r="H20" s="20">
        <v>2015</v>
      </c>
      <c r="I20" s="20">
        <v>147000</v>
      </c>
      <c r="J20" s="20" t="s">
        <v>23</v>
      </c>
      <c r="K20" s="21">
        <v>45677</v>
      </c>
      <c r="L20" s="20">
        <v>12</v>
      </c>
      <c r="M20" s="20">
        <v>2640</v>
      </c>
      <c r="N20" s="22">
        <f t="shared" si="0"/>
        <v>0.05</v>
      </c>
      <c r="O20" s="20">
        <f t="shared" si="1"/>
        <v>7350</v>
      </c>
      <c r="P20" s="20">
        <f t="shared" si="2"/>
        <v>9990</v>
      </c>
      <c r="Q20" s="20" t="str">
        <f t="shared" si="3"/>
        <v>VIP</v>
      </c>
      <c r="R20" s="23">
        <f t="shared" si="4"/>
        <v>16</v>
      </c>
    </row>
    <row r="21" spans="1:18" x14ac:dyDescent="0.35">
      <c r="A21" s="18">
        <v>20</v>
      </c>
      <c r="B21" s="19" t="s">
        <v>92</v>
      </c>
      <c r="C21" s="19" t="s">
        <v>93</v>
      </c>
      <c r="D21" s="19" t="s">
        <v>94</v>
      </c>
      <c r="E21" s="19" t="s">
        <v>45</v>
      </c>
      <c r="F21" s="19" t="s">
        <v>27</v>
      </c>
      <c r="G21" s="19" t="s">
        <v>28</v>
      </c>
      <c r="H21" s="20">
        <v>2016</v>
      </c>
      <c r="I21" s="20">
        <v>150000</v>
      </c>
      <c r="J21" s="20" t="s">
        <v>29</v>
      </c>
      <c r="K21" s="21">
        <v>45678</v>
      </c>
      <c r="L21" s="20">
        <v>12</v>
      </c>
      <c r="M21" s="20">
        <v>2700</v>
      </c>
      <c r="N21" s="22">
        <f t="shared" si="0"/>
        <v>0.06</v>
      </c>
      <c r="O21" s="20">
        <f t="shared" si="1"/>
        <v>9000</v>
      </c>
      <c r="P21" s="20">
        <f t="shared" si="2"/>
        <v>11700</v>
      </c>
      <c r="Q21" s="20" t="str">
        <f t="shared" si="3"/>
        <v>VIP</v>
      </c>
      <c r="R21" s="23">
        <f t="shared" si="4"/>
        <v>12</v>
      </c>
    </row>
    <row r="22" spans="1:18" x14ac:dyDescent="0.35">
      <c r="A22" s="18">
        <v>21</v>
      </c>
      <c r="B22" s="19" t="s">
        <v>95</v>
      </c>
      <c r="C22" s="19" t="s">
        <v>96</v>
      </c>
      <c r="D22" s="19" t="s">
        <v>97</v>
      </c>
      <c r="E22" s="19" t="s">
        <v>40</v>
      </c>
      <c r="F22" s="19" t="s">
        <v>34</v>
      </c>
      <c r="G22" s="19" t="s">
        <v>35</v>
      </c>
      <c r="H22" s="20">
        <v>2017</v>
      </c>
      <c r="I22" s="20">
        <v>153000</v>
      </c>
      <c r="J22" s="20" t="s">
        <v>36</v>
      </c>
      <c r="K22" s="21">
        <v>45679</v>
      </c>
      <c r="L22" s="20">
        <v>12</v>
      </c>
      <c r="M22" s="20">
        <v>2760</v>
      </c>
      <c r="N22" s="22">
        <f t="shared" si="0"/>
        <v>0.03</v>
      </c>
      <c r="O22" s="20">
        <f t="shared" si="1"/>
        <v>4590</v>
      </c>
      <c r="P22" s="20">
        <f t="shared" si="2"/>
        <v>7350</v>
      </c>
      <c r="Q22" s="20" t="str">
        <f t="shared" si="3"/>
        <v>VIP</v>
      </c>
      <c r="R22" s="23">
        <f t="shared" si="4"/>
        <v>20</v>
      </c>
    </row>
    <row r="23" spans="1:18" x14ac:dyDescent="0.35">
      <c r="A23" s="18">
        <v>22</v>
      </c>
      <c r="B23" s="19" t="s">
        <v>98</v>
      </c>
      <c r="C23" s="19" t="s">
        <v>99</v>
      </c>
      <c r="D23" s="19" t="s">
        <v>100</v>
      </c>
      <c r="E23" s="19" t="s">
        <v>33</v>
      </c>
      <c r="F23" s="19" t="s">
        <v>21</v>
      </c>
      <c r="G23" s="19" t="s">
        <v>41</v>
      </c>
      <c r="H23" s="20">
        <v>2018</v>
      </c>
      <c r="I23" s="20">
        <v>156000</v>
      </c>
      <c r="J23" s="20" t="s">
        <v>23</v>
      </c>
      <c r="K23" s="21">
        <v>45680</v>
      </c>
      <c r="L23" s="20">
        <v>12</v>
      </c>
      <c r="M23" s="20">
        <v>2820</v>
      </c>
      <c r="N23" s="22">
        <f t="shared" si="0"/>
        <v>0.05</v>
      </c>
      <c r="O23" s="20">
        <f t="shared" si="1"/>
        <v>7800</v>
      </c>
      <c r="P23" s="20">
        <f t="shared" si="2"/>
        <v>10620</v>
      </c>
      <c r="Q23" s="20" t="str">
        <f t="shared" si="3"/>
        <v>VIP</v>
      </c>
      <c r="R23" s="23">
        <f t="shared" si="4"/>
        <v>13</v>
      </c>
    </row>
    <row r="24" spans="1:18" x14ac:dyDescent="0.35">
      <c r="A24" s="18">
        <v>23</v>
      </c>
      <c r="B24" s="19" t="s">
        <v>101</v>
      </c>
      <c r="C24" s="19" t="s">
        <v>102</v>
      </c>
      <c r="D24" s="19" t="s">
        <v>103</v>
      </c>
      <c r="E24" s="19" t="s">
        <v>50</v>
      </c>
      <c r="F24" s="19" t="s">
        <v>27</v>
      </c>
      <c r="G24" s="19" t="s">
        <v>46</v>
      </c>
      <c r="H24" s="20">
        <v>2019</v>
      </c>
      <c r="I24" s="20">
        <v>159000</v>
      </c>
      <c r="J24" s="20" t="s">
        <v>29</v>
      </c>
      <c r="K24" s="21">
        <v>45681</v>
      </c>
      <c r="L24" s="20">
        <v>12</v>
      </c>
      <c r="M24" s="20">
        <v>2880</v>
      </c>
      <c r="N24" s="22">
        <f t="shared" si="0"/>
        <v>0.06</v>
      </c>
      <c r="O24" s="20">
        <f t="shared" si="1"/>
        <v>9540</v>
      </c>
      <c r="P24" s="20">
        <f t="shared" si="2"/>
        <v>12420</v>
      </c>
      <c r="Q24" s="20" t="str">
        <f t="shared" si="3"/>
        <v>VIP</v>
      </c>
      <c r="R24" s="23">
        <f t="shared" si="4"/>
        <v>10</v>
      </c>
    </row>
    <row r="25" spans="1:18" x14ac:dyDescent="0.35">
      <c r="A25" s="18">
        <v>24</v>
      </c>
      <c r="B25" s="19" t="s">
        <v>104</v>
      </c>
      <c r="C25" s="19" t="s">
        <v>105</v>
      </c>
      <c r="D25" s="19" t="s">
        <v>106</v>
      </c>
      <c r="E25" s="19" t="s">
        <v>40</v>
      </c>
      <c r="F25" s="19" t="s">
        <v>34</v>
      </c>
      <c r="G25" s="19" t="s">
        <v>51</v>
      </c>
      <c r="H25" s="20">
        <v>2020</v>
      </c>
      <c r="I25" s="20">
        <v>162000</v>
      </c>
      <c r="J25" s="20" t="s">
        <v>36</v>
      </c>
      <c r="K25" s="21">
        <v>45682</v>
      </c>
      <c r="L25" s="20">
        <v>12</v>
      </c>
      <c r="M25" s="20">
        <v>2940</v>
      </c>
      <c r="N25" s="22">
        <f t="shared" si="0"/>
        <v>0.03</v>
      </c>
      <c r="O25" s="20">
        <f t="shared" si="1"/>
        <v>4860</v>
      </c>
      <c r="P25" s="20">
        <f t="shared" si="2"/>
        <v>7800</v>
      </c>
      <c r="Q25" s="20" t="str">
        <f t="shared" si="3"/>
        <v>VIP</v>
      </c>
      <c r="R25" s="23">
        <f t="shared" si="4"/>
        <v>17</v>
      </c>
    </row>
    <row r="26" spans="1:18" x14ac:dyDescent="0.35">
      <c r="A26" s="18">
        <v>25</v>
      </c>
      <c r="B26" s="19" t="s">
        <v>107</v>
      </c>
      <c r="C26" s="19" t="s">
        <v>108</v>
      </c>
      <c r="D26" s="19" t="s">
        <v>109</v>
      </c>
      <c r="E26" s="19" t="s">
        <v>45</v>
      </c>
      <c r="F26" s="19" t="s">
        <v>21</v>
      </c>
      <c r="G26" s="19" t="s">
        <v>22</v>
      </c>
      <c r="H26" s="20">
        <v>2021</v>
      </c>
      <c r="I26" s="20">
        <v>165000</v>
      </c>
      <c r="J26" s="20" t="s">
        <v>23</v>
      </c>
      <c r="K26" s="21">
        <v>45683</v>
      </c>
      <c r="L26" s="20">
        <v>12</v>
      </c>
      <c r="M26" s="20">
        <v>3000</v>
      </c>
      <c r="N26" s="22">
        <f t="shared" si="0"/>
        <v>0.05</v>
      </c>
      <c r="O26" s="20">
        <f t="shared" si="1"/>
        <v>8250</v>
      </c>
      <c r="P26" s="20">
        <f t="shared" si="2"/>
        <v>11250</v>
      </c>
      <c r="Q26" s="20" t="str">
        <f t="shared" si="3"/>
        <v>VIP</v>
      </c>
      <c r="R26" s="23">
        <f t="shared" si="4"/>
        <v>11</v>
      </c>
    </row>
    <row r="27" spans="1:18" x14ac:dyDescent="0.35">
      <c r="A27" s="18">
        <v>26</v>
      </c>
      <c r="B27" s="19" t="s">
        <v>110</v>
      </c>
      <c r="C27" s="19" t="s">
        <v>111</v>
      </c>
      <c r="D27" s="19" t="s">
        <v>112</v>
      </c>
      <c r="E27" s="19" t="s">
        <v>20</v>
      </c>
      <c r="F27" s="19" t="s">
        <v>27</v>
      </c>
      <c r="G27" s="19" t="s">
        <v>28</v>
      </c>
      <c r="H27" s="20">
        <v>2022</v>
      </c>
      <c r="I27" s="20">
        <v>168000</v>
      </c>
      <c r="J27" s="20" t="s">
        <v>29</v>
      </c>
      <c r="K27" s="21">
        <v>45684</v>
      </c>
      <c r="L27" s="20">
        <v>12</v>
      </c>
      <c r="M27" s="20">
        <v>3060</v>
      </c>
      <c r="N27" s="22">
        <f t="shared" si="0"/>
        <v>0.06</v>
      </c>
      <c r="O27" s="20">
        <f t="shared" si="1"/>
        <v>10080</v>
      </c>
      <c r="P27" s="20">
        <f t="shared" si="2"/>
        <v>13140</v>
      </c>
      <c r="Q27" s="20" t="str">
        <f t="shared" si="3"/>
        <v>VIP</v>
      </c>
      <c r="R27" s="23">
        <f t="shared" si="4"/>
        <v>7</v>
      </c>
    </row>
    <row r="28" spans="1:18" x14ac:dyDescent="0.35">
      <c r="A28" s="18">
        <v>27</v>
      </c>
      <c r="B28" s="19" t="s">
        <v>113</v>
      </c>
      <c r="C28" s="19" t="s">
        <v>114</v>
      </c>
      <c r="D28" s="19" t="s">
        <v>115</v>
      </c>
      <c r="E28" s="19" t="s">
        <v>50</v>
      </c>
      <c r="F28" s="19" t="s">
        <v>34</v>
      </c>
      <c r="G28" s="19" t="s">
        <v>35</v>
      </c>
      <c r="H28" s="20">
        <v>2023</v>
      </c>
      <c r="I28" s="20">
        <v>171000</v>
      </c>
      <c r="J28" s="20" t="s">
        <v>36</v>
      </c>
      <c r="K28" s="21">
        <v>45685</v>
      </c>
      <c r="L28" s="20">
        <v>12</v>
      </c>
      <c r="M28" s="20">
        <v>3120</v>
      </c>
      <c r="N28" s="22">
        <f t="shared" si="0"/>
        <v>0.03</v>
      </c>
      <c r="O28" s="20">
        <f t="shared" si="1"/>
        <v>5130</v>
      </c>
      <c r="P28" s="20">
        <f t="shared" si="2"/>
        <v>8250</v>
      </c>
      <c r="Q28" s="20" t="str">
        <f t="shared" si="3"/>
        <v>VIP</v>
      </c>
      <c r="R28" s="23">
        <f t="shared" si="4"/>
        <v>14</v>
      </c>
    </row>
    <row r="29" spans="1:18" x14ac:dyDescent="0.35">
      <c r="A29" s="18">
        <v>28</v>
      </c>
      <c r="B29" s="19" t="s">
        <v>116</v>
      </c>
      <c r="C29" s="19" t="s">
        <v>117</v>
      </c>
      <c r="D29" s="19" t="s">
        <v>118</v>
      </c>
      <c r="E29" s="19" t="s">
        <v>33</v>
      </c>
      <c r="F29" s="19" t="s">
        <v>21</v>
      </c>
      <c r="G29" s="19" t="s">
        <v>41</v>
      </c>
      <c r="H29" s="20">
        <v>2010</v>
      </c>
      <c r="I29" s="20">
        <v>174000</v>
      </c>
      <c r="J29" s="20" t="s">
        <v>23</v>
      </c>
      <c r="K29" s="21">
        <v>45658</v>
      </c>
      <c r="L29" s="20">
        <v>12</v>
      </c>
      <c r="M29" s="20">
        <v>3180</v>
      </c>
      <c r="N29" s="22">
        <f t="shared" si="0"/>
        <v>0.05</v>
      </c>
      <c r="O29" s="20">
        <f t="shared" si="1"/>
        <v>8700</v>
      </c>
      <c r="P29" s="20">
        <f t="shared" si="2"/>
        <v>11880</v>
      </c>
      <c r="Q29" s="20" t="str">
        <f t="shared" si="3"/>
        <v>VIP</v>
      </c>
      <c r="R29" s="23">
        <f t="shared" si="4"/>
        <v>9</v>
      </c>
    </row>
    <row r="30" spans="1:18" x14ac:dyDescent="0.35">
      <c r="A30" s="18">
        <v>29</v>
      </c>
      <c r="B30" s="19" t="s">
        <v>119</v>
      </c>
      <c r="C30" s="19" t="s">
        <v>120</v>
      </c>
      <c r="D30" s="19" t="s">
        <v>121</v>
      </c>
      <c r="E30" s="19" t="s">
        <v>40</v>
      </c>
      <c r="F30" s="19" t="s">
        <v>27</v>
      </c>
      <c r="G30" s="19" t="s">
        <v>46</v>
      </c>
      <c r="H30" s="20">
        <v>2011</v>
      </c>
      <c r="I30" s="20">
        <v>177000</v>
      </c>
      <c r="J30" s="20" t="s">
        <v>29</v>
      </c>
      <c r="K30" s="21">
        <v>45659</v>
      </c>
      <c r="L30" s="20">
        <v>12</v>
      </c>
      <c r="M30" s="20">
        <v>3240</v>
      </c>
      <c r="N30" s="22">
        <f t="shared" si="0"/>
        <v>0.06</v>
      </c>
      <c r="O30" s="20">
        <f t="shared" si="1"/>
        <v>10620</v>
      </c>
      <c r="P30" s="20">
        <f t="shared" si="2"/>
        <v>13860</v>
      </c>
      <c r="Q30" s="20" t="str">
        <f t="shared" si="3"/>
        <v>VIP</v>
      </c>
      <c r="R30" s="23">
        <f t="shared" si="4"/>
        <v>5</v>
      </c>
    </row>
    <row r="31" spans="1:18" x14ac:dyDescent="0.35">
      <c r="A31" s="18">
        <v>30</v>
      </c>
      <c r="B31" s="19" t="s">
        <v>122</v>
      </c>
      <c r="C31" s="19" t="s">
        <v>123</v>
      </c>
      <c r="D31" s="19" t="s">
        <v>124</v>
      </c>
      <c r="E31" s="19" t="s">
        <v>45</v>
      </c>
      <c r="F31" s="19" t="s">
        <v>34</v>
      </c>
      <c r="G31" s="19" t="s">
        <v>51</v>
      </c>
      <c r="H31" s="20">
        <v>2012</v>
      </c>
      <c r="I31" s="20">
        <v>180000</v>
      </c>
      <c r="J31" s="20" t="s">
        <v>36</v>
      </c>
      <c r="K31" s="21">
        <v>45660</v>
      </c>
      <c r="L31" s="20">
        <v>12</v>
      </c>
      <c r="M31" s="20">
        <v>3300</v>
      </c>
      <c r="N31" s="22">
        <f t="shared" si="0"/>
        <v>0.03</v>
      </c>
      <c r="O31" s="20">
        <f t="shared" si="1"/>
        <v>5400</v>
      </c>
      <c r="P31" s="20">
        <f t="shared" si="2"/>
        <v>8700</v>
      </c>
      <c r="Q31" s="20" t="str">
        <f t="shared" si="3"/>
        <v>VIP</v>
      </c>
      <c r="R31" s="23">
        <f t="shared" si="4"/>
        <v>11</v>
      </c>
    </row>
    <row r="32" spans="1:18" x14ac:dyDescent="0.35">
      <c r="A32" s="18">
        <v>31</v>
      </c>
      <c r="B32" s="19" t="s">
        <v>125</v>
      </c>
      <c r="C32" s="19" t="s">
        <v>126</v>
      </c>
      <c r="D32" s="19" t="s">
        <v>127</v>
      </c>
      <c r="E32" s="19" t="s">
        <v>50</v>
      </c>
      <c r="F32" s="19" t="s">
        <v>21</v>
      </c>
      <c r="G32" s="19" t="s">
        <v>22</v>
      </c>
      <c r="H32" s="20">
        <v>2013</v>
      </c>
      <c r="I32" s="20">
        <v>183000</v>
      </c>
      <c r="J32" s="20" t="s">
        <v>23</v>
      </c>
      <c r="K32" s="21">
        <v>45661</v>
      </c>
      <c r="L32" s="20">
        <v>12</v>
      </c>
      <c r="M32" s="20">
        <v>3360</v>
      </c>
      <c r="N32" s="22">
        <f t="shared" si="0"/>
        <v>0.05</v>
      </c>
      <c r="O32" s="20">
        <f t="shared" si="1"/>
        <v>9150</v>
      </c>
      <c r="P32" s="20">
        <f t="shared" si="2"/>
        <v>12510</v>
      </c>
      <c r="Q32" s="20" t="str">
        <f t="shared" si="3"/>
        <v>VIP</v>
      </c>
      <c r="R32" s="23">
        <f t="shared" si="4"/>
        <v>7</v>
      </c>
    </row>
    <row r="33" spans="1:18" x14ac:dyDescent="0.35">
      <c r="A33" s="18">
        <v>32</v>
      </c>
      <c r="B33" s="19" t="s">
        <v>128</v>
      </c>
      <c r="C33" s="19" t="s">
        <v>129</v>
      </c>
      <c r="D33" s="19" t="s">
        <v>130</v>
      </c>
      <c r="E33" s="19" t="s">
        <v>33</v>
      </c>
      <c r="F33" s="19" t="s">
        <v>27</v>
      </c>
      <c r="G33" s="19" t="s">
        <v>28</v>
      </c>
      <c r="H33" s="20">
        <v>2014</v>
      </c>
      <c r="I33" s="20">
        <v>186000</v>
      </c>
      <c r="J33" s="20" t="s">
        <v>29</v>
      </c>
      <c r="K33" s="21">
        <v>45662</v>
      </c>
      <c r="L33" s="20">
        <v>12</v>
      </c>
      <c r="M33" s="20">
        <v>3420</v>
      </c>
      <c r="N33" s="22">
        <f t="shared" si="0"/>
        <v>0.06</v>
      </c>
      <c r="O33" s="20">
        <f t="shared" si="1"/>
        <v>11160</v>
      </c>
      <c r="P33" s="20">
        <f t="shared" si="2"/>
        <v>14580</v>
      </c>
      <c r="Q33" s="20" t="str">
        <f t="shared" si="3"/>
        <v>VIP</v>
      </c>
      <c r="R33" s="23">
        <f t="shared" si="4"/>
        <v>3</v>
      </c>
    </row>
    <row r="34" spans="1:18" x14ac:dyDescent="0.35">
      <c r="A34" s="18">
        <v>33</v>
      </c>
      <c r="B34" s="19" t="s">
        <v>131</v>
      </c>
      <c r="C34" s="19" t="s">
        <v>132</v>
      </c>
      <c r="D34" s="19" t="s">
        <v>133</v>
      </c>
      <c r="E34" s="19" t="s">
        <v>40</v>
      </c>
      <c r="F34" s="19" t="s">
        <v>34</v>
      </c>
      <c r="G34" s="19" t="s">
        <v>35</v>
      </c>
      <c r="H34" s="20">
        <v>2015</v>
      </c>
      <c r="I34" s="20">
        <v>189000</v>
      </c>
      <c r="J34" s="20" t="s">
        <v>36</v>
      </c>
      <c r="K34" s="21">
        <v>45663</v>
      </c>
      <c r="L34" s="20">
        <v>12</v>
      </c>
      <c r="M34" s="20">
        <v>3480</v>
      </c>
      <c r="N34" s="22">
        <f t="shared" si="0"/>
        <v>0.03</v>
      </c>
      <c r="O34" s="20">
        <f t="shared" si="1"/>
        <v>5670</v>
      </c>
      <c r="P34" s="20">
        <f t="shared" si="2"/>
        <v>9150</v>
      </c>
      <c r="Q34" s="20" t="str">
        <f t="shared" si="3"/>
        <v>VIP</v>
      </c>
      <c r="R34" s="23">
        <f t="shared" si="4"/>
        <v>8</v>
      </c>
    </row>
    <row r="35" spans="1:18" x14ac:dyDescent="0.35">
      <c r="A35" s="18">
        <v>34</v>
      </c>
      <c r="B35" s="19" t="s">
        <v>134</v>
      </c>
      <c r="C35" s="19" t="s">
        <v>135</v>
      </c>
      <c r="D35" s="19" t="s">
        <v>136</v>
      </c>
      <c r="E35" s="19" t="s">
        <v>45</v>
      </c>
      <c r="F35" s="19" t="s">
        <v>21</v>
      </c>
      <c r="G35" s="19" t="s">
        <v>41</v>
      </c>
      <c r="H35" s="20">
        <v>2016</v>
      </c>
      <c r="I35" s="20">
        <v>192000</v>
      </c>
      <c r="J35" s="20" t="s">
        <v>23</v>
      </c>
      <c r="K35" s="21">
        <v>45664</v>
      </c>
      <c r="L35" s="20">
        <v>12</v>
      </c>
      <c r="M35" s="20">
        <v>3540</v>
      </c>
      <c r="N35" s="22">
        <f t="shared" si="0"/>
        <v>0.05</v>
      </c>
      <c r="O35" s="20">
        <f t="shared" si="1"/>
        <v>9600</v>
      </c>
      <c r="P35" s="20">
        <f t="shared" si="2"/>
        <v>13140</v>
      </c>
      <c r="Q35" s="20" t="str">
        <f t="shared" si="3"/>
        <v>VIP</v>
      </c>
      <c r="R35" s="23">
        <f t="shared" si="4"/>
        <v>5</v>
      </c>
    </row>
    <row r="36" spans="1:18" x14ac:dyDescent="0.35">
      <c r="A36" s="18">
        <v>35</v>
      </c>
      <c r="B36" s="19" t="s">
        <v>137</v>
      </c>
      <c r="C36" s="19" t="s">
        <v>138</v>
      </c>
      <c r="D36" s="19" t="s">
        <v>139</v>
      </c>
      <c r="E36" s="19" t="s">
        <v>20</v>
      </c>
      <c r="F36" s="19" t="s">
        <v>27</v>
      </c>
      <c r="G36" s="19" t="s">
        <v>46</v>
      </c>
      <c r="H36" s="20">
        <v>2017</v>
      </c>
      <c r="I36" s="20">
        <v>195000</v>
      </c>
      <c r="J36" s="20" t="s">
        <v>29</v>
      </c>
      <c r="K36" s="21">
        <v>45665</v>
      </c>
      <c r="L36" s="20">
        <v>12</v>
      </c>
      <c r="M36" s="20">
        <v>3600</v>
      </c>
      <c r="N36" s="22">
        <f t="shared" si="0"/>
        <v>0.06</v>
      </c>
      <c r="O36" s="20">
        <f t="shared" si="1"/>
        <v>11700</v>
      </c>
      <c r="P36" s="20">
        <f t="shared" si="2"/>
        <v>15300</v>
      </c>
      <c r="Q36" s="20" t="str">
        <f t="shared" si="3"/>
        <v>VIP</v>
      </c>
      <c r="R36" s="23">
        <f t="shared" si="4"/>
        <v>2</v>
      </c>
    </row>
    <row r="37" spans="1:18" x14ac:dyDescent="0.35">
      <c r="A37" s="18">
        <v>36</v>
      </c>
      <c r="B37" s="19" t="s">
        <v>140</v>
      </c>
      <c r="C37" s="19" t="s">
        <v>141</v>
      </c>
      <c r="D37" s="19" t="s">
        <v>142</v>
      </c>
      <c r="E37" s="19" t="s">
        <v>50</v>
      </c>
      <c r="F37" s="19" t="s">
        <v>34</v>
      </c>
      <c r="G37" s="19" t="s">
        <v>51</v>
      </c>
      <c r="H37" s="20">
        <v>2018</v>
      </c>
      <c r="I37" s="20">
        <v>198000</v>
      </c>
      <c r="J37" s="20" t="s">
        <v>36</v>
      </c>
      <c r="K37" s="21">
        <v>45666</v>
      </c>
      <c r="L37" s="20">
        <v>12</v>
      </c>
      <c r="M37" s="20">
        <v>3660</v>
      </c>
      <c r="N37" s="22">
        <f t="shared" si="0"/>
        <v>0.03</v>
      </c>
      <c r="O37" s="20">
        <f t="shared" si="1"/>
        <v>5940</v>
      </c>
      <c r="P37" s="20">
        <f t="shared" si="2"/>
        <v>9600</v>
      </c>
      <c r="Q37" s="20" t="str">
        <f t="shared" si="3"/>
        <v>VIP</v>
      </c>
      <c r="R37" s="23">
        <f t="shared" si="4"/>
        <v>5</v>
      </c>
    </row>
    <row r="38" spans="1:18" x14ac:dyDescent="0.35">
      <c r="A38" s="18">
        <v>37</v>
      </c>
      <c r="B38" s="19" t="s">
        <v>143</v>
      </c>
      <c r="C38" s="19" t="s">
        <v>144</v>
      </c>
      <c r="D38" s="19" t="s">
        <v>145</v>
      </c>
      <c r="E38" s="19" t="s">
        <v>33</v>
      </c>
      <c r="F38" s="19" t="s">
        <v>21</v>
      </c>
      <c r="G38" s="19" t="s">
        <v>22</v>
      </c>
      <c r="H38" s="20">
        <v>2019</v>
      </c>
      <c r="I38" s="20">
        <v>201000</v>
      </c>
      <c r="J38" s="20" t="s">
        <v>23</v>
      </c>
      <c r="K38" s="21">
        <v>45667</v>
      </c>
      <c r="L38" s="20">
        <v>12</v>
      </c>
      <c r="M38" s="20">
        <v>3720</v>
      </c>
      <c r="N38" s="22">
        <f t="shared" si="0"/>
        <v>0.05</v>
      </c>
      <c r="O38" s="20">
        <f t="shared" si="1"/>
        <v>10050</v>
      </c>
      <c r="P38" s="20">
        <f t="shared" si="2"/>
        <v>13770</v>
      </c>
      <c r="Q38" s="20" t="str">
        <f t="shared" si="3"/>
        <v>VIP</v>
      </c>
      <c r="R38" s="23">
        <f t="shared" si="4"/>
        <v>3</v>
      </c>
    </row>
    <row r="39" spans="1:18" x14ac:dyDescent="0.35">
      <c r="A39" s="18">
        <v>38</v>
      </c>
      <c r="B39" s="19" t="s">
        <v>146</v>
      </c>
      <c r="C39" s="19" t="s">
        <v>147</v>
      </c>
      <c r="D39" s="19" t="s">
        <v>148</v>
      </c>
      <c r="E39" s="19" t="s">
        <v>40</v>
      </c>
      <c r="F39" s="19" t="s">
        <v>27</v>
      </c>
      <c r="G39" s="19" t="s">
        <v>28</v>
      </c>
      <c r="H39" s="20">
        <v>2020</v>
      </c>
      <c r="I39" s="20">
        <v>204000</v>
      </c>
      <c r="J39" s="20" t="s">
        <v>29</v>
      </c>
      <c r="K39" s="21">
        <v>45668</v>
      </c>
      <c r="L39" s="20">
        <v>12</v>
      </c>
      <c r="M39" s="20">
        <v>3780</v>
      </c>
      <c r="N39" s="22">
        <f t="shared" si="0"/>
        <v>0.06</v>
      </c>
      <c r="O39" s="20">
        <f t="shared" si="1"/>
        <v>12240</v>
      </c>
      <c r="P39" s="20">
        <f t="shared" si="2"/>
        <v>16020</v>
      </c>
      <c r="Q39" s="20" t="str">
        <f t="shared" si="3"/>
        <v>VIP</v>
      </c>
      <c r="R39" s="23">
        <f t="shared" si="4"/>
        <v>1</v>
      </c>
    </row>
    <row r="40" spans="1:18" x14ac:dyDescent="0.35">
      <c r="A40" s="18">
        <v>39</v>
      </c>
      <c r="B40" s="19" t="s">
        <v>149</v>
      </c>
      <c r="C40" s="19" t="s">
        <v>150</v>
      </c>
      <c r="D40" s="19" t="s">
        <v>151</v>
      </c>
      <c r="E40" s="19" t="s">
        <v>45</v>
      </c>
      <c r="F40" s="19" t="s">
        <v>34</v>
      </c>
      <c r="G40" s="19" t="s">
        <v>35</v>
      </c>
      <c r="H40" s="20">
        <v>2021</v>
      </c>
      <c r="I40" s="20">
        <v>207000</v>
      </c>
      <c r="J40" s="20" t="s">
        <v>36</v>
      </c>
      <c r="K40" s="21">
        <v>45669</v>
      </c>
      <c r="L40" s="20">
        <v>12</v>
      </c>
      <c r="M40" s="20">
        <v>3840</v>
      </c>
      <c r="N40" s="22">
        <f t="shared" si="0"/>
        <v>0.03</v>
      </c>
      <c r="O40" s="20">
        <f t="shared" si="1"/>
        <v>6210</v>
      </c>
      <c r="P40" s="20">
        <f t="shared" si="2"/>
        <v>10050</v>
      </c>
      <c r="Q40" s="20" t="str">
        <f t="shared" si="3"/>
        <v>VIP</v>
      </c>
      <c r="R40" s="23">
        <f t="shared" si="4"/>
        <v>2</v>
      </c>
    </row>
    <row r="41" spans="1:18" x14ac:dyDescent="0.35">
      <c r="A41" s="18">
        <v>40</v>
      </c>
      <c r="B41" s="19" t="s">
        <v>152</v>
      </c>
      <c r="C41" s="19" t="s">
        <v>153</v>
      </c>
      <c r="D41" s="19" t="s">
        <v>154</v>
      </c>
      <c r="E41" s="19" t="s">
        <v>20</v>
      </c>
      <c r="F41" s="19" t="s">
        <v>21</v>
      </c>
      <c r="G41" s="19" t="s">
        <v>41</v>
      </c>
      <c r="H41" s="20">
        <v>2022</v>
      </c>
      <c r="I41" s="20">
        <v>210000</v>
      </c>
      <c r="J41" s="20" t="s">
        <v>23</v>
      </c>
      <c r="K41" s="21">
        <v>45670</v>
      </c>
      <c r="L41" s="20">
        <v>12</v>
      </c>
      <c r="M41" s="20">
        <v>3900</v>
      </c>
      <c r="N41" s="22">
        <f t="shared" si="0"/>
        <v>0.05</v>
      </c>
      <c r="O41" s="20">
        <f t="shared" si="1"/>
        <v>10500</v>
      </c>
      <c r="P41" s="20">
        <f t="shared" si="2"/>
        <v>14400</v>
      </c>
      <c r="Q41" s="20" t="str">
        <f t="shared" si="3"/>
        <v>VIP</v>
      </c>
      <c r="R41" s="23">
        <f t="shared" si="4"/>
        <v>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0F04-DBF0-4AF7-A349-D99220C91C80}">
  <dimension ref="A1:K49"/>
  <sheetViews>
    <sheetView tabSelected="1" zoomScale="45" zoomScaleNormal="124" workbookViewId="0">
      <selection activeCell="M22" sqref="M22"/>
    </sheetView>
  </sheetViews>
  <sheetFormatPr baseColWidth="10" defaultRowHeight="14.5" x14ac:dyDescent="0.35"/>
  <cols>
    <col min="9" max="9" width="38.453125" customWidth="1"/>
  </cols>
  <sheetData>
    <row r="1" spans="1:10" x14ac:dyDescent="0.35">
      <c r="A1" s="5"/>
      <c r="B1" s="5"/>
      <c r="C1" s="5"/>
      <c r="D1" s="5"/>
      <c r="E1" s="5"/>
      <c r="F1" s="5"/>
      <c r="G1" s="5"/>
      <c r="H1" s="5"/>
      <c r="I1" s="4"/>
      <c r="J1" s="4"/>
    </row>
    <row r="2" spans="1:10" ht="15" thickBot="1" x14ac:dyDescent="0.4">
      <c r="A2" s="5"/>
      <c r="B2" s="5"/>
      <c r="C2" s="5"/>
      <c r="D2" s="5"/>
      <c r="E2" s="5"/>
      <c r="F2" s="5"/>
      <c r="G2" s="5"/>
      <c r="H2" s="5"/>
      <c r="I2" s="4"/>
      <c r="J2" s="4"/>
    </row>
    <row r="3" spans="1:10" x14ac:dyDescent="0.35">
      <c r="A3" s="5"/>
      <c r="B3" s="6"/>
      <c r="C3" s="7"/>
      <c r="D3" s="7"/>
      <c r="E3" s="7"/>
      <c r="F3" s="7"/>
      <c r="G3" s="7"/>
      <c r="H3" s="7"/>
      <c r="I3" s="8"/>
      <c r="J3" s="4"/>
    </row>
    <row r="4" spans="1:10" x14ac:dyDescent="0.35">
      <c r="A4" s="5"/>
      <c r="B4" s="9"/>
      <c r="C4" s="5"/>
      <c r="D4" s="5"/>
      <c r="E4" s="5"/>
      <c r="F4" s="5"/>
      <c r="G4" s="5"/>
      <c r="H4" s="5"/>
      <c r="I4" s="10"/>
      <c r="J4" s="4"/>
    </row>
    <row r="5" spans="1:10" x14ac:dyDescent="0.35">
      <c r="A5" s="5"/>
      <c r="B5" s="9"/>
      <c r="C5" s="5"/>
      <c r="D5" s="5"/>
      <c r="E5" s="5"/>
      <c r="F5" s="5"/>
      <c r="G5" s="5"/>
      <c r="H5" s="5"/>
      <c r="I5" s="10"/>
      <c r="J5" s="4"/>
    </row>
    <row r="6" spans="1:10" x14ac:dyDescent="0.35">
      <c r="A6" s="5"/>
      <c r="B6" s="9"/>
      <c r="C6" s="5"/>
      <c r="D6" s="5"/>
      <c r="E6" s="5"/>
      <c r="F6" s="5"/>
      <c r="G6" s="5"/>
      <c r="H6" s="5"/>
      <c r="I6" s="10"/>
      <c r="J6" s="4"/>
    </row>
    <row r="7" spans="1:10" x14ac:dyDescent="0.35">
      <c r="A7" s="5"/>
      <c r="B7" s="9"/>
      <c r="C7" s="5"/>
      <c r="D7" s="5"/>
      <c r="E7" s="5"/>
      <c r="F7" s="5"/>
      <c r="G7" s="5"/>
      <c r="H7" s="5"/>
      <c r="I7" s="10"/>
      <c r="J7" s="4"/>
    </row>
    <row r="8" spans="1:10" x14ac:dyDescent="0.35">
      <c r="A8" s="5"/>
      <c r="B8" s="9"/>
      <c r="C8" s="5"/>
      <c r="D8" s="5"/>
      <c r="E8" s="5"/>
      <c r="F8" s="5"/>
      <c r="G8" s="5"/>
      <c r="H8" s="5"/>
      <c r="I8" s="10"/>
      <c r="J8" s="4"/>
    </row>
    <row r="9" spans="1:10" x14ac:dyDescent="0.35">
      <c r="A9" s="5"/>
      <c r="B9" s="9"/>
      <c r="C9" s="5"/>
      <c r="D9" s="5"/>
      <c r="E9" s="27"/>
      <c r="F9" s="27"/>
      <c r="G9" s="5"/>
      <c r="H9" s="5"/>
      <c r="I9" s="10"/>
      <c r="J9" s="4"/>
    </row>
    <row r="10" spans="1:10" x14ac:dyDescent="0.35">
      <c r="A10" s="5"/>
      <c r="B10" s="9"/>
      <c r="C10" s="5"/>
      <c r="D10" s="5"/>
      <c r="E10" s="27"/>
      <c r="F10" s="27"/>
      <c r="G10" s="5"/>
      <c r="H10" s="5"/>
      <c r="I10" s="10"/>
      <c r="J10" s="4"/>
    </row>
    <row r="11" spans="1:10" x14ac:dyDescent="0.35">
      <c r="A11" s="5"/>
      <c r="B11" s="9"/>
      <c r="C11" s="5"/>
      <c r="D11" s="5"/>
      <c r="E11" s="27"/>
      <c r="F11" s="27"/>
      <c r="G11" s="5"/>
      <c r="H11" s="5"/>
      <c r="I11" s="10"/>
      <c r="J11" s="4"/>
    </row>
    <row r="12" spans="1:10" x14ac:dyDescent="0.35">
      <c r="A12" s="5"/>
      <c r="B12" s="9"/>
      <c r="C12" s="5"/>
      <c r="D12" s="5"/>
      <c r="E12" s="5"/>
      <c r="F12" s="5"/>
      <c r="G12" s="5"/>
      <c r="H12" s="5"/>
      <c r="I12" s="10"/>
      <c r="J12" s="4"/>
    </row>
    <row r="13" spans="1:10" x14ac:dyDescent="0.35">
      <c r="A13" s="5"/>
      <c r="B13" s="9"/>
      <c r="C13" s="5"/>
      <c r="D13" s="5"/>
      <c r="E13" s="5"/>
      <c r="F13" s="5"/>
      <c r="G13" s="5"/>
      <c r="H13" s="5"/>
      <c r="I13" s="10"/>
      <c r="J13" s="4"/>
    </row>
    <row r="14" spans="1:10" x14ac:dyDescent="0.35">
      <c r="A14" s="5"/>
      <c r="B14" s="9"/>
      <c r="C14" s="5"/>
      <c r="D14" s="5"/>
      <c r="E14" s="5"/>
      <c r="F14" s="5"/>
      <c r="G14" s="5"/>
      <c r="H14" s="5"/>
      <c r="I14" s="10"/>
      <c r="J14" s="4"/>
    </row>
    <row r="15" spans="1:10" x14ac:dyDescent="0.35">
      <c r="A15" s="5"/>
      <c r="B15" s="9"/>
      <c r="C15" s="5"/>
      <c r="D15" s="5"/>
      <c r="E15" s="5"/>
      <c r="F15" s="5"/>
      <c r="G15" s="5"/>
      <c r="H15" s="5"/>
      <c r="I15" s="10"/>
      <c r="J15" s="4"/>
    </row>
    <row r="16" spans="1:10" x14ac:dyDescent="0.35">
      <c r="A16" s="5"/>
      <c r="B16" s="9"/>
      <c r="C16" s="5"/>
      <c r="D16" s="5"/>
      <c r="E16" s="5"/>
      <c r="F16" s="5"/>
      <c r="G16" s="5"/>
      <c r="H16" s="5"/>
      <c r="I16" s="10"/>
      <c r="J16" s="4"/>
    </row>
    <row r="17" spans="1:11" x14ac:dyDescent="0.35">
      <c r="A17" s="5"/>
      <c r="B17" s="9"/>
      <c r="C17" s="5"/>
      <c r="D17" s="5"/>
      <c r="E17" s="5"/>
      <c r="F17" s="5"/>
      <c r="G17" s="5"/>
      <c r="H17" s="5"/>
      <c r="I17" s="10"/>
      <c r="J17" s="4"/>
    </row>
    <row r="18" spans="1:11" x14ac:dyDescent="0.35">
      <c r="A18" s="5"/>
      <c r="B18" s="9"/>
      <c r="C18" s="5"/>
      <c r="D18" s="5"/>
      <c r="E18" s="5"/>
      <c r="F18" s="5"/>
      <c r="G18" s="5"/>
      <c r="H18" s="5"/>
      <c r="I18" s="10"/>
      <c r="J18" s="4"/>
    </row>
    <row r="19" spans="1:11" x14ac:dyDescent="0.35">
      <c r="A19" s="5"/>
      <c r="B19" s="9"/>
      <c r="C19" s="5"/>
      <c r="D19" s="5"/>
      <c r="E19" s="5"/>
      <c r="F19" s="5"/>
      <c r="G19" s="5"/>
      <c r="H19" s="5"/>
      <c r="I19" s="10"/>
      <c r="J19" s="4"/>
    </row>
    <row r="20" spans="1:11" x14ac:dyDescent="0.35">
      <c r="A20" s="5"/>
      <c r="B20" s="9"/>
      <c r="C20" s="5"/>
      <c r="D20" s="5"/>
      <c r="E20" s="5"/>
      <c r="F20" s="5"/>
      <c r="G20" s="5"/>
      <c r="H20" s="5"/>
      <c r="I20" s="10"/>
      <c r="J20" s="4"/>
    </row>
    <row r="21" spans="1:11" x14ac:dyDescent="0.35">
      <c r="A21" s="5"/>
      <c r="B21" s="9"/>
      <c r="C21" s="5"/>
      <c r="D21" s="5"/>
      <c r="E21" s="5"/>
      <c r="F21" s="5"/>
      <c r="G21" s="5"/>
      <c r="H21" s="5"/>
      <c r="I21" s="10"/>
      <c r="J21" s="4"/>
    </row>
    <row r="22" spans="1:11" x14ac:dyDescent="0.35">
      <c r="A22" s="5"/>
      <c r="B22" s="9"/>
      <c r="C22" s="5"/>
      <c r="D22" s="5"/>
      <c r="E22" s="5"/>
      <c r="F22" s="5"/>
      <c r="G22" s="5"/>
      <c r="H22" s="5"/>
      <c r="I22" s="10"/>
      <c r="J22" s="4"/>
    </row>
    <row r="23" spans="1:11" x14ac:dyDescent="0.35">
      <c r="A23" s="5"/>
      <c r="B23" s="9"/>
      <c r="C23" s="5"/>
      <c r="D23" s="5"/>
      <c r="E23" s="5"/>
      <c r="F23" s="5"/>
      <c r="G23" s="5"/>
      <c r="H23" s="5"/>
      <c r="I23" s="10"/>
      <c r="J23" s="4"/>
    </row>
    <row r="24" spans="1:11" x14ac:dyDescent="0.35">
      <c r="A24" s="5"/>
      <c r="B24" s="9"/>
      <c r="C24" s="5"/>
      <c r="D24" s="5"/>
      <c r="E24" s="5"/>
      <c r="F24" s="5"/>
      <c r="G24" s="5"/>
      <c r="H24" s="5"/>
      <c r="I24" s="10"/>
      <c r="J24" s="4"/>
    </row>
    <row r="25" spans="1:11" x14ac:dyDescent="0.35">
      <c r="A25" s="5"/>
      <c r="B25" s="9"/>
      <c r="C25" s="5"/>
      <c r="D25" s="5"/>
      <c r="E25" s="5"/>
      <c r="F25" s="5"/>
      <c r="G25" s="5"/>
      <c r="H25" s="5"/>
      <c r="I25" s="10"/>
      <c r="J25" s="4"/>
      <c r="K25" t="s">
        <v>174</v>
      </c>
    </row>
    <row r="26" spans="1:11" x14ac:dyDescent="0.35">
      <c r="A26" s="5"/>
      <c r="B26" s="9"/>
      <c r="C26" s="5"/>
      <c r="D26" s="5"/>
      <c r="E26" s="5"/>
      <c r="F26" s="5"/>
      <c r="G26" s="5"/>
      <c r="H26" s="5"/>
      <c r="I26" s="10"/>
      <c r="J26" s="4"/>
    </row>
    <row r="27" spans="1:11" x14ac:dyDescent="0.35">
      <c r="A27" s="5"/>
      <c r="B27" s="9"/>
      <c r="C27" s="5"/>
      <c r="D27" s="5"/>
      <c r="E27" s="5"/>
      <c r="F27" s="5"/>
      <c r="G27" s="5"/>
      <c r="H27" s="5"/>
      <c r="I27" s="10"/>
      <c r="J27" s="4"/>
    </row>
    <row r="28" spans="1:11" x14ac:dyDescent="0.35">
      <c r="A28" s="5"/>
      <c r="B28" s="9"/>
      <c r="C28" s="5"/>
      <c r="D28" s="5"/>
      <c r="E28" s="5"/>
      <c r="F28" s="5"/>
      <c r="G28" s="5"/>
      <c r="H28" s="5"/>
      <c r="I28" s="10"/>
      <c r="J28" s="4"/>
    </row>
    <row r="29" spans="1:11" x14ac:dyDescent="0.35">
      <c r="A29" s="5"/>
      <c r="B29" s="9"/>
      <c r="C29" s="5"/>
      <c r="D29" s="5"/>
      <c r="E29" s="5"/>
      <c r="F29" s="5"/>
      <c r="G29" s="5"/>
      <c r="H29" s="5"/>
      <c r="I29" s="10"/>
      <c r="J29" s="4"/>
    </row>
    <row r="30" spans="1:11" x14ac:dyDescent="0.35">
      <c r="A30" s="5"/>
      <c r="B30" s="9"/>
      <c r="C30" s="5"/>
      <c r="D30" s="5"/>
      <c r="E30" s="5"/>
      <c r="F30" s="5"/>
      <c r="G30" s="5"/>
      <c r="H30" s="5"/>
      <c r="I30" s="10"/>
      <c r="J30" s="4"/>
    </row>
    <row r="31" spans="1:11" x14ac:dyDescent="0.35">
      <c r="A31" s="5"/>
      <c r="B31" s="9"/>
      <c r="C31" s="5"/>
      <c r="D31" s="5"/>
      <c r="E31" s="5"/>
      <c r="F31" s="5"/>
      <c r="G31" s="5"/>
      <c r="H31" s="5"/>
      <c r="I31" s="10"/>
      <c r="J31" s="4"/>
    </row>
    <row r="32" spans="1:11" x14ac:dyDescent="0.35">
      <c r="A32" s="5"/>
      <c r="B32" s="9"/>
      <c r="C32" s="5"/>
      <c r="D32" s="5"/>
      <c r="E32" s="5"/>
      <c r="F32" s="5"/>
      <c r="G32" s="5"/>
      <c r="H32" s="5"/>
      <c r="I32" s="10"/>
      <c r="J32" s="4"/>
    </row>
    <row r="33" spans="1:10" x14ac:dyDescent="0.35">
      <c r="A33" s="5"/>
      <c r="B33" s="9"/>
      <c r="C33" s="5"/>
      <c r="D33" s="5"/>
      <c r="E33" s="5"/>
      <c r="F33" s="5"/>
      <c r="G33" s="5"/>
      <c r="H33" s="5"/>
      <c r="I33" s="10"/>
      <c r="J33" s="4"/>
    </row>
    <row r="34" spans="1:10" x14ac:dyDescent="0.35">
      <c r="A34" s="5"/>
      <c r="B34" s="9"/>
      <c r="C34" s="5"/>
      <c r="D34" s="5"/>
      <c r="E34" s="5"/>
      <c r="F34" s="5"/>
      <c r="G34" s="5"/>
      <c r="H34" s="5"/>
      <c r="I34" s="10"/>
      <c r="J34" s="4"/>
    </row>
    <row r="35" spans="1:10" x14ac:dyDescent="0.35">
      <c r="A35" s="5"/>
      <c r="B35" s="9"/>
      <c r="C35" s="5"/>
      <c r="D35" s="5"/>
      <c r="E35" s="5"/>
      <c r="F35" s="5"/>
      <c r="G35" s="5"/>
      <c r="H35" s="5"/>
      <c r="I35" s="10"/>
      <c r="J35" s="4"/>
    </row>
    <row r="36" spans="1:10" x14ac:dyDescent="0.35">
      <c r="A36" s="5"/>
      <c r="B36" s="9"/>
      <c r="C36" s="5"/>
      <c r="D36" s="5"/>
      <c r="E36" s="5"/>
      <c r="F36" s="5"/>
      <c r="G36" s="5"/>
      <c r="H36" s="5"/>
      <c r="I36" s="10"/>
      <c r="J36" s="4"/>
    </row>
    <row r="37" spans="1:10" x14ac:dyDescent="0.35">
      <c r="A37" s="5"/>
      <c r="B37" s="9"/>
      <c r="C37" s="5"/>
      <c r="D37" s="5"/>
      <c r="E37" s="5"/>
      <c r="F37" s="5"/>
      <c r="G37" s="5"/>
      <c r="H37" s="5"/>
      <c r="I37" s="10"/>
      <c r="J37" s="4"/>
    </row>
    <row r="38" spans="1:10" x14ac:dyDescent="0.35">
      <c r="A38" s="5"/>
      <c r="B38" s="9"/>
      <c r="C38" s="5"/>
      <c r="D38" s="5"/>
      <c r="E38" s="5"/>
      <c r="F38" s="5"/>
      <c r="G38" s="5"/>
      <c r="H38" s="5"/>
      <c r="I38" s="10"/>
      <c r="J38" s="4"/>
    </row>
    <row r="39" spans="1:10" x14ac:dyDescent="0.35">
      <c r="A39" s="5"/>
      <c r="B39" s="9"/>
      <c r="C39" s="5"/>
      <c r="D39" s="5"/>
      <c r="E39" s="5"/>
      <c r="F39" s="5"/>
      <c r="G39" s="5"/>
      <c r="H39" s="5"/>
      <c r="I39" s="10"/>
      <c r="J39" s="4"/>
    </row>
    <row r="40" spans="1:10" x14ac:dyDescent="0.35">
      <c r="A40" s="5"/>
      <c r="B40" s="9"/>
      <c r="C40" s="5"/>
      <c r="D40" s="5"/>
      <c r="E40" s="5"/>
      <c r="F40" s="5"/>
      <c r="G40" s="5"/>
      <c r="H40" s="5"/>
      <c r="I40" s="10"/>
      <c r="J40" s="4"/>
    </row>
    <row r="41" spans="1:10" x14ac:dyDescent="0.35">
      <c r="A41" s="5"/>
      <c r="B41" s="9"/>
      <c r="C41" s="5"/>
      <c r="D41" s="5"/>
      <c r="E41" s="5"/>
      <c r="F41" s="5"/>
      <c r="G41" s="5"/>
      <c r="H41" s="5"/>
      <c r="I41" s="10"/>
      <c r="J41" s="4"/>
    </row>
    <row r="42" spans="1:10" x14ac:dyDescent="0.35">
      <c r="A42" s="5"/>
      <c r="B42" s="9"/>
      <c r="C42" s="5"/>
      <c r="D42" s="5"/>
      <c r="E42" s="5"/>
      <c r="F42" s="5"/>
      <c r="G42" s="5"/>
      <c r="H42" s="5"/>
      <c r="I42" s="10"/>
      <c r="J42" s="4"/>
    </row>
    <row r="43" spans="1:10" x14ac:dyDescent="0.35">
      <c r="A43" s="5"/>
      <c r="B43" s="9"/>
      <c r="C43" s="5"/>
      <c r="D43" s="5"/>
      <c r="E43" s="5"/>
      <c r="F43" s="5"/>
      <c r="G43" s="5"/>
      <c r="H43" s="5"/>
      <c r="I43" s="10"/>
      <c r="J43" s="4"/>
    </row>
    <row r="44" spans="1:10" x14ac:dyDescent="0.35">
      <c r="A44" s="5"/>
      <c r="B44" s="9"/>
      <c r="C44" s="5"/>
      <c r="D44" s="5"/>
      <c r="E44" s="5"/>
      <c r="F44" s="5"/>
      <c r="G44" s="5"/>
      <c r="H44" s="5"/>
      <c r="I44" s="10"/>
      <c r="J44" s="4"/>
    </row>
    <row r="45" spans="1:10" x14ac:dyDescent="0.35">
      <c r="A45" s="5"/>
      <c r="B45" s="9"/>
      <c r="C45" s="5"/>
      <c r="D45" s="5"/>
      <c r="E45" s="5"/>
      <c r="F45" s="5"/>
      <c r="G45" s="5"/>
      <c r="H45" s="5"/>
      <c r="I45" s="10"/>
      <c r="J45" s="4"/>
    </row>
    <row r="46" spans="1:10" x14ac:dyDescent="0.35">
      <c r="A46" s="5"/>
      <c r="B46" s="9"/>
      <c r="C46" s="5"/>
      <c r="D46" s="5"/>
      <c r="E46" s="5"/>
      <c r="F46" s="5"/>
      <c r="G46" s="5"/>
      <c r="H46" s="5"/>
      <c r="I46" s="10"/>
      <c r="J46" s="4"/>
    </row>
    <row r="47" spans="1:10" ht="15" thickBot="1" x14ac:dyDescent="0.4">
      <c r="A47" s="5"/>
      <c r="B47" s="11"/>
      <c r="C47" s="12"/>
      <c r="D47" s="12"/>
      <c r="E47" s="12"/>
      <c r="F47" s="12"/>
      <c r="G47" s="12"/>
      <c r="H47" s="12"/>
      <c r="I47" s="13"/>
      <c r="J47" s="4"/>
    </row>
    <row r="48" spans="1:10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Feuil4</vt:lpstr>
      <vt:lpstr>bac end</vt:lpstr>
      <vt:lpstr>Assurances_Auto</vt:lpstr>
      <vt:lpstr>dachbourd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 Ouhammou</cp:lastModifiedBy>
  <dcterms:created xsi:type="dcterms:W3CDTF">2025-12-28T12:53:27Z</dcterms:created>
  <dcterms:modified xsi:type="dcterms:W3CDTF">2026-01-01T23:11:03Z</dcterms:modified>
</cp:coreProperties>
</file>